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ting Strategy" sheetId="1" state="visible" r:id="rId3"/>
    <sheet name="12-Month Projections" sheetId="2" state="visible" r:id="rId4"/>
    <sheet name="8-Week Launch Plan" sheetId="3" state="visible" r:id="rId5"/>
    <sheet name="ROI Scenari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<sst xmlns="http://schemas.openxmlformats.org/spreadsheetml/2006/main" count="244" uniqueCount="222">
  <si>
    <t xml:space="preserve">PRESSO - DETAILED MARKETING STRATEGY &amp; ROI PROJECTIONS</t>
  </si>
  <si>
    <t xml:space="preserve">Navi Mumbai Launch  |  Budget: Under Rs.2L/month  |  Starting from Zero</t>
  </si>
  <si>
    <t xml:space="preserve">KEY ASSUMPTIONS (Edit blue values to model scenarios)</t>
  </si>
  <si>
    <t xml:space="preserve">Average Order Value (AOV)</t>
  </si>
  <si>
    <t xml:space="preserve">Based on 8-12 items per order</t>
  </si>
  <si>
    <t xml:space="preserve">Gross Margin on Services</t>
  </si>
  <si>
    <t xml:space="preserve">After direct costs (detergent, water, electricity)</t>
  </si>
  <si>
    <t xml:space="preserve">Rider Cost per Order</t>
  </si>
  <si>
    <t xml:space="preserve">Fixed payment per pickup/delivery</t>
  </si>
  <si>
    <t xml:space="preserve">Monthly Marketing Budget</t>
  </si>
  <si>
    <t xml:space="preserve">Under Rs.2L/month constraint</t>
  </si>
  <si>
    <t xml:space="preserve">Avg CPC - Meta Ads (Instagram/FB)</t>
  </si>
  <si>
    <t xml:space="preserve">Navi Mumbai local targeting, service category</t>
  </si>
  <si>
    <t xml:space="preserve">Avg CPC - Google Ads</t>
  </si>
  <si>
    <t xml:space="preserve">Local intent keywords: 'laundry near me'</t>
  </si>
  <si>
    <t xml:space="preserve">Meta Ads CTR</t>
  </si>
  <si>
    <t xml:space="preserve">2.5% CTR for local service ads</t>
  </si>
  <si>
    <t xml:space="preserve">Google Ads CTR</t>
  </si>
  <si>
    <t xml:space="preserve">4% CTR for high-intent search</t>
  </si>
  <si>
    <t xml:space="preserve">App Install-to-Order Rate</t>
  </si>
  <si>
    <t xml:space="preserve">15% of installs place first order</t>
  </si>
  <si>
    <t xml:space="preserve">Referral Conversion Rate</t>
  </si>
  <si>
    <t xml:space="preserve">30% of referred users order</t>
  </si>
  <si>
    <t xml:space="preserve">Repeat Order Rate (Monthly)</t>
  </si>
  <si>
    <t xml:space="preserve">45% of customers reorder within 30 days</t>
  </si>
  <si>
    <t xml:space="preserve">Avg Orders per Repeat Customer/Month</t>
  </si>
  <si>
    <t xml:space="preserve">Frequency of repeat customers</t>
  </si>
  <si>
    <t xml:space="preserve">Referral Coin Cost per Acquisition</t>
  </si>
  <si>
    <t xml:space="preserve">Coins given to referrer + referred</t>
  </si>
  <si>
    <t xml:space="preserve">CAC Benchmark (Industry)</t>
  </si>
  <si>
    <t xml:space="preserve">Rs.600-850 for laundry apps in India</t>
  </si>
  <si>
    <t xml:space="preserve">MONTHLY CHANNEL BUDGET BREAKDOWN (Month 1-3: Launch Phase)</t>
  </si>
  <si>
    <t xml:space="preserve">Channel</t>
  </si>
  <si>
    <t xml:space="preserve">Monthly Budget</t>
  </si>
  <si>
    <t xml:space="preserve">% of Total</t>
  </si>
  <si>
    <t xml:space="preserve">Est. New Customers</t>
  </si>
  <si>
    <t xml:space="preserve">Cost per Customer</t>
  </si>
  <si>
    <t xml:space="preserve">Strategy &amp; Tactics</t>
  </si>
  <si>
    <t xml:space="preserve">Instagram Reels + Stories</t>
  </si>
  <si>
    <t xml:space="preserve">Short-form video content: before/after laundry transformations, 'Day in life of Presso rider', Navi Mumbai lifestyle content. 3-4 Reels/week. Boost top performers.</t>
  </si>
  <si>
    <t xml:space="preserve">Meta Paid Ads (FB + IG)</t>
  </si>
  <si>
    <t xml:space="preserve">Location-targeted ads to Kharghar, Vashi, Belapur pin codes. Carousel ads showing services + pricing. Retarget app installers who haven't ordered.</t>
  </si>
  <si>
    <t xml:space="preserve">Google Search Ads</t>
  </si>
  <si>
    <t xml:space="preserve">High-intent keywords: 'laundry delivery Navi Mumbai', 'dry cleaning Kharghar', 'wash and fold near me'. Call extensions + app install campaigns.</t>
  </si>
  <si>
    <t xml:space="preserve">WhatsApp Marketing</t>
  </si>
  <si>
    <t xml:space="preserve">Broadcast lists for offers, order confirmations, referral nudges. WhatsApp Business catalog. Society group partnerships.</t>
  </si>
  <si>
    <t xml:space="preserve">Referral Program (Coins)</t>
  </si>
  <si>
    <t xml:space="preserve">In-app referral: both sides earn Rs.50 in Presso Coins. Track via unique codes. Budget = coin redemption subsidy for ~200 referral conversions.</t>
  </si>
  <si>
    <t xml:space="preserve">Hyperlocal (Flyers/Banners)</t>
  </si>
  <si>
    <t xml:space="preserve">Society gate standees in top 10 complexes. Door-to-door flyers with QR code. Local shop cross-promotion. Refresh monthly.</t>
  </si>
  <si>
    <t xml:space="preserve">Influencer Micro-Collabs</t>
  </si>
  <si>
    <t xml:space="preserve">2-3 Navi Mumbai micro-influencers/month (5K-20K followers). Free service + Rs.3-5K per post. Focus: lifestyle, parenting, student creators.</t>
  </si>
  <si>
    <t xml:space="preserve">Content &amp; SEO</t>
  </si>
  <si>
    <t xml:space="preserve">Google My Business optimization, blog posts on garment care, Instagram carousels. Organic long-term play.</t>
  </si>
  <si>
    <t xml:space="preserve">TOTAL MONTHLY BUDGET</t>
  </si>
  <si>
    <t xml:space="preserve">Blended CAC across all channels</t>
  </si>
  <si>
    <t xml:space="preserve">PRESSO - 12-MONTH MARKETING ROI &amp; FINANCIAL PROJECTIONS</t>
  </si>
  <si>
    <t xml:space="preserve">METRIC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</si>
  <si>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</si>
  <si>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</si>
  <si>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</si>
  <si>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</si>
  <si>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</si>
  <si>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</si>
  <si>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</si>
  <si>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</si>
  <si>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</si>
  <si>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</si>
  <si>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</si>
  <si>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</si>
  <si>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YEAR 1 TOTAL</t>
  </si>
  <si>
    <t xml:space="preserve">MARKETING INVESTMENT</t>
  </si>
  <si>
    <t xml:space="preserve">Total Marketing Spend</t>
  </si>
  <si>
    <t xml:space="preserve">Launch Campaign (One-Time)</t>
  </si>
  <si>
    <t xml:space="preserve">TOTAL MARKETING COST</t>
  </si>
  <si>
    <t xml:space="preserve">CUSTOMER ACQUISITION</t>
  </si>
  <si>
    <t xml:space="preserve">New Customers (Paid Channels)</t>
  </si>
  <si>
    <t xml:space="preserve">New Customers (Referrals)</t>
  </si>
  <si>
    <t xml:space="preserve">New Customers (Organic/WOM)</t>
  </si>
  <si>
    <t xml:space="preserve">Total New Customers</t>
  </si>
  <si>
    <t xml:space="preserve">Cumulative Customer Base</t>
  </si>
  <si>
    <t xml:space="preserve">Blended CAC (Cost per New Customer)</t>
  </si>
  <si>
    <t xml:space="preserve">ORDERS &amp; REVENUE</t>
  </si>
  <si>
    <t xml:space="preserve">First-Time Orders</t>
  </si>
  <si>
    <t xml:space="preserve">Repeat Orders</t>
  </si>
  <si>
    <t xml:space="preserve">TOTAL ORDERS</t>
  </si>
  <si>
    <t xml:space="preserve">Gross Revenue</t>
  </si>
  <si>
    <t xml:space="preserve">Gross Profit (after COGS)</t>
  </si>
  <si>
    <t xml:space="preserve">PROFITABILITY ANALYSIS</t>
  </si>
  <si>
    <t xml:space="preserve">Fixed Ops (Rent, Staff, Tech)</t>
  </si>
  <si>
    <t xml:space="preserve">NET PROFIT / (LOSS)</t>
  </si>
  <si>
    <t xml:space="preserve">Cumulative P&amp;L</t>
  </si>
  <si>
    <t xml:space="preserve">Marketing ROI %</t>
  </si>
  <si>
    <t xml:space="preserve">KEY METRICS</t>
  </si>
  <si>
    <t xml:space="preserve">Revenue per Marketing Rupee</t>
  </si>
  <si>
    <t xml:space="preserve">Orders per Customer (Monthly)</t>
  </si>
  <si>
    <t xml:space="preserve">PRESSO - WEEK-BY-WEEK LAUNCH MARKETING PLAN</t>
  </si>
  <si>
    <t xml:space="preserve">Week</t>
  </si>
  <si>
    <t xml:space="preserve">Activity</t>
  </si>
  <si>
    <t xml:space="preserve">Budget (Rs.)</t>
  </si>
  <si>
    <t xml:space="preserve">Expected Outcome</t>
  </si>
  <si>
    <t xml:space="preserve">Owner / Notes</t>
  </si>
  <si>
    <t xml:space="preserve">PRE-LAUNCH PHASE</t>
  </si>
  <si>
    <t xml:space="preserve">Week 1</t>
  </si>
  <si>
    <t xml:space="preserve">Set up Instagram, Google My Business, WhatsApp Business</t>
  </si>
  <si>
    <t xml:space="preserve">5,000</t>
  </si>
  <si>
    <t xml:space="preserve">Profiles live, 50 initial followers</t>
  </si>
  <si>
    <t xml:space="preserve">Create content calendar, branding templates</t>
  </si>
  <si>
    <t xml:space="preserve">Design flyers, QR code standees, society banners</t>
  </si>
  <si>
    <t xml:space="preserve">8,000</t>
  </si>
  <si>
    <t xml:space="preserve">Marketing collateral ready</t>
  </si>
  <si>
    <t xml:space="preserve">Print 500 flyers, 10 standees</t>
  </si>
  <si>
    <t xml:space="preserve">Week 2</t>
  </si>
  <si>
    <t xml:space="preserve">Content creation: 10 Reels + 15 Stories stockpile</t>
  </si>
  <si>
    <t xml:space="preserve">10,000</t>
  </si>
  <si>
    <t xml:space="preserve">2 weeks of content ready</t>
  </si>
  <si>
    <t xml:space="preserve">Before/after, how-it-works, pricing explainers</t>
  </si>
  <si>
    <t xml:space="preserve">WhatsApp community building in target societies</t>
  </si>
  <si>
    <t xml:space="preserve">3,000</t>
  </si>
  <si>
    <t xml:space="preserve">100-150 pre-launch sign-ups</t>
  </si>
  <si>
    <t xml:space="preserve">Kharghar, Vashi, Belapur housing societies</t>
  </si>
  <si>
    <t xml:space="preserve">Identify 5 micro-influencers, negotiate collabs</t>
  </si>
  <si>
    <t xml:space="preserve">0</t>
  </si>
  <si>
    <t xml:space="preserve">5 influencers confirmed</t>
  </si>
  <si>
    <t xml:space="preserve">Free service + Rs.3-5K per post/reel</t>
  </si>
  <si>
    <t xml:space="preserve">LAUNCH WEEK</t>
  </si>
  <si>
    <t xml:space="preserve">Week 3</t>
  </si>
  <si>
    <t xml:space="preserve">APP LAUNCH: 'First Order Free Delivery' campaign</t>
  </si>
  <si>
    <t xml:space="preserve">25,000</t>
  </si>
  <si>
    <t xml:space="preserve">50-75 app installs, 15-25 orders</t>
  </si>
  <si>
    <t xml:space="preserve">Heavy social push, WhatsApp blast, society flyers</t>
  </si>
  <si>
    <t xml:space="preserve">Meta Ads: Location-targeted carousel + video ads</t>
  </si>
  <si>
    <t xml:space="preserve">15,000</t>
  </si>
  <si>
    <t xml:space="preserve">10,000-15,000 impressions, 200+ clicks</t>
  </si>
  <si>
    <t xml:space="preserve">Pin code targeting: Kharghar, Vashi, Belapur</t>
  </si>
  <si>
    <t xml:space="preserve">Google Ads: 'laundry delivery Navi Mumbai' keywords</t>
  </si>
  <si>
    <t xml:space="preserve">150-250 clicks, 20-35 installs</t>
  </si>
  <si>
    <t xml:space="preserve">Start with exact match, expand to broad</t>
  </si>
  <si>
    <t xml:space="preserve">Distribute flyers in top 5 residential complexes</t>
  </si>
  <si>
    <t xml:space="preserve">500 flyers distributed, QR scans tracked</t>
  </si>
  <si>
    <t xml:space="preserve">Morning 8-10 AM gate placement</t>
  </si>
  <si>
    <t xml:space="preserve">Week 4</t>
  </si>
  <si>
    <t xml:space="preserve">Influencer posts go live (3 of 5 creators)</t>
  </si>
  <si>
    <t xml:space="preserve">5,000-15,000 organic reach</t>
  </si>
  <si>
    <t xml:space="preserve">Track UTM links per influencer</t>
  </si>
  <si>
    <t xml:space="preserve">Activate referral program: Rs.50 coins each side</t>
  </si>
  <si>
    <t xml:space="preserve">15-25 referral sign-ups</t>
  </si>
  <si>
    <t xml:space="preserve">In-app prompt after first order</t>
  </si>
  <si>
    <t xml:space="preserve">Retarget app installers who haven't ordered</t>
  </si>
  <si>
    <t xml:space="preserve">5-10% conversion of non-ordering installs</t>
  </si>
  <si>
    <t xml:space="preserve">Meta retargeting pixel</t>
  </si>
  <si>
    <t xml:space="preserve">EARLY GROWTH PHASE</t>
  </si>
  <si>
    <t xml:space="preserve">Week 5</t>
  </si>
  <si>
    <t xml:space="preserve">Scale Meta Ads to best-performing creatives</t>
  </si>
  <si>
    <t xml:space="preserve">20,000</t>
  </si>
  <si>
    <t xml:space="preserve">300+ clicks, 45-60 installs</t>
  </si>
  <si>
    <t xml:space="preserve">Kill underperforming ads, double winners</t>
  </si>
  <si>
    <t xml:space="preserve">Student outreach: college notice boards, PG tie-ups</t>
  </si>
  <si>
    <t xml:space="preserve">20-30 student sign-ups</t>
  </si>
  <si>
    <t xml:space="preserve">Student verification = 10% discount</t>
  </si>
  <si>
    <t xml:space="preserve">Week 6</t>
  </si>
  <si>
    <t xml:space="preserve">Remaining 2 influencer posts + UGC reshare campaign</t>
  </si>
  <si>
    <t xml:space="preserve">Customer testimonials as content</t>
  </si>
  <si>
    <t xml:space="preserve">Repost customer stories, reviews</t>
  </si>
  <si>
    <t xml:space="preserve">Expand Google Ads: add 'dry cleaning', 'iron near me'</t>
  </si>
  <si>
    <t xml:space="preserve">12,000</t>
  </si>
  <si>
    <t xml:space="preserve">Broaden keyword coverage</t>
  </si>
  <si>
    <t xml:space="preserve">Monitor quality score, adjust bids</t>
  </si>
  <si>
    <t xml:space="preserve">Week 7</t>
  </si>
  <si>
    <t xml:space="preserve">WhatsApp offer blast: 'Order 3, Get 4th Free'</t>
  </si>
  <si>
    <t xml:space="preserve">Re-activate dormant first-time customers</t>
  </si>
  <si>
    <t xml:space="preserve">Segment: ordered once, not reordered</t>
  </si>
  <si>
    <t xml:space="preserve">Expand flyer coverage to 5 more societies</t>
  </si>
  <si>
    <t xml:space="preserve">7,000</t>
  </si>
  <si>
    <t xml:space="preserve">Another 500 flyers, new area coverage</t>
  </si>
  <si>
    <t xml:space="preserve">Seawoods, Ulwe, Panvel areas</t>
  </si>
  <si>
    <t xml:space="preserve">Week 8</t>
  </si>
  <si>
    <t xml:space="preserve">Review all channel performance, optimize budget split</t>
  </si>
  <si>
    <t xml:space="preserve">Data-driven budget reallocation</t>
  </si>
  <si>
    <t xml:space="preserve">Double down on best CAC channels</t>
  </si>
  <si>
    <t xml:space="preserve">Set up Google Search Console, blog first 2 articles</t>
  </si>
  <si>
    <t xml:space="preserve">SEO foundation laid</t>
  </si>
  <si>
    <t xml:space="preserve">Target: 'laundry tips', 'garment care'</t>
  </si>
  <si>
    <t xml:space="preserve">TOTAL 8-WEEK LAUNCH BUDGET</t>
  </si>
  <si>
    <t xml:space="preserve">Rs.2,04,000</t>
  </si>
  <si>
    <t xml:space="preserve">100-175 total customers acquired</t>
  </si>
  <si>
    <t xml:space="preserve">PRESSO - ROI SCENARIO ANALYSIS</t>
  </si>
  <si>
    <t xml:space="preserve">What happens if things go better or worse than planned?</t>
  </si>
  <si>
    <t xml:space="preserve">Metric (Year 1)</t>
  </si>
  <si>
    <t xml:space="preserve">Conservative</t>
  </si>
  <si>
    <t xml:space="preserve">Base Case</t>
  </si>
  <si>
    <t xml:space="preserve">Optimistic</t>
  </si>
  <si>
    <t xml:space="preserve">Total Marketing Spend (Year 1)</t>
  </si>
  <si>
    <t xml:space="preserve">Total New Customers (Year 1)</t>
  </si>
  <si>
    <t xml:space="preserve">Blended CAC</t>
  </si>
  <si>
    <t xml:space="preserve">Repeat Rate (Monthly)</t>
  </si>
  <si>
    <t xml:space="preserve">Total Orders (Year 1)</t>
  </si>
  <si>
    <t xml:space="preserve">Average Order Value</t>
  </si>
  <si>
    <t xml:space="preserve">Gross Revenue (Year 1)</t>
  </si>
  <si>
    <t xml:space="preserve">Gross Profit (55% margin - rider)</t>
  </si>
  <si>
    <t xml:space="preserve">Fixed Operating Costs (Year 1)</t>
  </si>
  <si>
    <t xml:space="preserve">NET PROFIT / (LOSS) Year 1</t>
  </si>
  <si>
    <t xml:space="preserve">Break-Even Month</t>
  </si>
  <si>
    <t xml:space="preserve">Month 14-16</t>
  </si>
  <si>
    <t xml:space="preserve">Month 10-12</t>
  </si>
  <si>
    <t xml:space="preserve">Month 7-8</t>
  </si>
  <si>
    <t xml:space="preserve">12-Month Customer LTV</t>
  </si>
  <si>
    <t xml:space="preserve">LTV : CAC Ratio</t>
  </si>
  <si>
    <t xml:space="preserve">0.8x</t>
  </si>
  <si>
    <t xml:space="preserve">1.9x</t>
  </si>
  <si>
    <t xml:space="preserve">3.8x</t>
  </si>
  <si>
    <t xml:space="preserve">Monthly Revenue at Month 12</t>
  </si>
  <si>
    <t xml:space="preserve">Marketing ROI at Month 12</t>
  </si>
  <si>
    <t xml:space="preserve">-50%</t>
  </si>
  <si>
    <t xml:space="preserve">150%</t>
  </si>
  <si>
    <t xml:space="preserve">400%</t>
  </si>
  <si>
    <t xml:space="preserve">KEY INSIGHT</t>
  </si>
  <si>
    <t xml:space="preserve">Year 1 will be a net loss in ALL scenarios. This is normal for a startup in growth mode. The question is how fast you reach break-even.</t>
  </si>
  <si>
    <t xml:space="preserve">The single biggest lever is REPEAT RATE. Going from 30% to 55% monthly repeat doubles your Year 1 revenue with the same marketing spend.</t>
  </si>
  <si>
    <t xml:space="preserve">At Rs.2L/month budget, you're acquisition-constrained. Every Rs.1 spent on retention (loyalty, service quality, app experience) has 3-5x more impact than Rs.1 on acquisition.</t>
  </si>
  <si>
    <t xml:space="preserve">Target: Keep blended CAC under Rs.2,500 and repeat rate above 40%. If you hit both, break-even is achievable by Month 10-12.</t>
  </si>
  <si>
    <t xml:space="preserve">Referrals are your cheapest channel at ~Rs.100/customer vs Rs.750+ for paid ads. Invest heavily in making the referral experience frictionless.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</si>
</sst>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;\(#,##0\);\-"/>
    <numFmt numFmtId="168" formatCode="0.0\x"/>
    <numFmt numFmtId="169" formatCode="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72FF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2"/>
      <color rgb="FF00C6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14"/>
      <color rgb="FF0072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B347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A1628"/>
        <bgColor rgb="FF0D2B45"/>
      </patternFill>
    </fill>
    <fill>
      <patternFill patternType="solid">
        <fgColor rgb="FFE8F4FD"/>
        <bgColor rgb="FFE8F8F0"/>
      </patternFill>
    </fill>
    <fill>
      <patternFill patternType="solid">
        <fgColor rgb="FFFFFFF0"/>
        <bgColor rgb="FFFFFFFF"/>
      </patternFill>
    </fill>
    <fill>
      <patternFill patternType="solid">
        <fgColor rgb="FFFFFFFF"/>
        <bgColor rgb="FFFFFFF0"/>
      </patternFill>
    </fill>
    <fill>
      <patternFill patternType="solid">
        <fgColor rgb="FF0072FF"/>
        <bgColor rgb="FF3366FF"/>
      </patternFill>
    </fill>
    <fill>
      <patternFill patternType="solid">
        <fgColor rgb="FF0D2B45"/>
        <bgColor rgb="FF0A1628"/>
      </patternFill>
    </fill>
    <fill>
      <patternFill patternType="solid">
        <fgColor rgb="FFE8F8F0"/>
        <bgColor rgb="FFE8F4FD"/>
      </patternFill>
    </fill>
    <fill>
      <patternFill patternType="solid">
        <fgColor rgb="FFFFF8ED"/>
        <bgColor rgb="FFFFFFF0"/>
      </patternFill>
    </fill>
    <fill>
      <patternFill patternType="solid">
        <fgColor rgb="FFB85042"/>
        <bgColor rgb="FF993366"/>
      </patternFill>
    </fill>
    <fill>
      <patternFill patternType="solid">
        <fgColor rgb="FF2E7D32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 style="thin">
        <color rgb="FFD0D5DD"/>
      </left>
      <right/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0C0C0"/>
      <rgbColor rgb="FF888888"/>
      <rgbColor rgb="FF9999FF"/>
      <rgbColor rgb="FFB85042"/>
      <rgbColor rgb="FFFFFFF0"/>
      <rgbColor rgb="FFE8F8F0"/>
      <rgbColor rgb="FF660066"/>
      <rgbColor rgb="FFFF6060"/>
      <rgbColor rgb="FF0072FF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6FF"/>
      <rgbColor rgb="FFE8F4FD"/>
      <rgbColor rgb="FFCCFFCC"/>
      <rgbColor rgb="FFFFF8ED"/>
      <rgbColor rgb="FF99CCFF"/>
      <rgbColor rgb="FFFF99CC"/>
      <rgbColor rgb="FFCC99FF"/>
      <rgbColor rgb="FFFFCC99"/>
      <rgbColor rgb="FF3366FF"/>
      <rgbColor rgb="FF33CCCC"/>
      <rgbColor rgb="FF99CC00"/>
      <rgbColor rgb="FFFFB347"/>
      <rgbColor rgb="FFFF9900"/>
      <rgbColor rgb="FFFF6600"/>
      <rgbColor rgb="FF666666"/>
      <rgbColor rgb="FFAAAAAA"/>
      <rgbColor rgb="FF0D2B45"/>
      <rgbColor rgb="FF4CAF82"/>
      <rgbColor rgb="FF0A1628"/>
      <rgbColor rgb="FF333300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2FF"/>
    <pageSetUpPr fitToPage="false"/>
  </sheetPr>
  <dimension ref="B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25"/>
    <col collapsed="false" customWidth="true" hidden="false" outlineLevel="0" max="7" min="7" style="0" width="30"/>
  </cols>
  <sheetData>
    <row r="1" customFormat="false" ht="34.5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21.75" hidden="false" customHeight="true" outlineLevel="0" collapsed="false">
      <c r="B2" s="2" t="s">
        <v>1</v>
      </c>
      <c r="C2" s="2"/>
      <c r="D2" s="2"/>
      <c r="E2" s="2"/>
      <c r="F2" s="2"/>
      <c r="G2" s="2"/>
    </row>
    <row r="4" customFormat="false" ht="27.75" hidden="false" customHeight="true" outlineLevel="0" collapsed="false">
      <c r="B4" s="3" t="s">
        <v>2</v>
      </c>
      <c r="C4" s="3"/>
      <c r="D4" s="3"/>
      <c r="E4" s="3"/>
      <c r="F4" s="3"/>
      <c r="G4" s="3"/>
    </row>
    <row r="5" customFormat="false" ht="22.35" hidden="false" customHeight="false" outlineLevel="0" collapsed="false">
      <c r="B5" s="4" t="s">
        <v>3</v>
      </c>
      <c r="C5" s="5" t="n">
        <v>400</v>
      </c>
      <c r="D5" s="6" t="s">
        <v>4</v>
      </c>
      <c r="E5" s="7"/>
      <c r="F5" s="7"/>
      <c r="G5" s="7"/>
    </row>
    <row r="6" customFormat="false" ht="32.8" hidden="false" customHeight="false" outlineLevel="0" collapsed="false">
      <c r="B6" s="8" t="s">
        <v>5</v>
      </c>
      <c r="C6" s="9" t="n">
        <v>0.55</v>
      </c>
      <c r="D6" s="10" t="s">
        <v>6</v>
      </c>
      <c r="E6" s="11"/>
      <c r="F6" s="11"/>
      <c r="G6" s="11"/>
    </row>
    <row r="7" customFormat="false" ht="22.35" hidden="false" customHeight="false" outlineLevel="0" collapsed="false">
      <c r="B7" s="4" t="s">
        <v>7</v>
      </c>
      <c r="C7" s="5" t="n">
        <v>30</v>
      </c>
      <c r="D7" s="6" t="s">
        <v>8</v>
      </c>
      <c r="E7" s="7"/>
      <c r="F7" s="7"/>
      <c r="G7" s="7"/>
    </row>
    <row r="8" customFormat="false" ht="22.35" hidden="false" customHeight="false" outlineLevel="0" collapsed="false">
      <c r="B8" s="8" t="s">
        <v>9</v>
      </c>
      <c r="C8" s="5" t="n">
        <v>175000</v>
      </c>
      <c r="D8" s="10" t="s">
        <v>10</v>
      </c>
      <c r="E8" s="11"/>
      <c r="F8" s="11"/>
      <c r="G8" s="11"/>
    </row>
    <row r="9" customFormat="false" ht="32.8" hidden="false" customHeight="false" outlineLevel="0" collapsed="false">
      <c r="B9" s="4" t="s">
        <v>11</v>
      </c>
      <c r="C9" s="5" t="n">
        <v>12</v>
      </c>
      <c r="D9" s="6" t="s">
        <v>12</v>
      </c>
      <c r="E9" s="7"/>
      <c r="F9" s="7"/>
      <c r="G9" s="7"/>
    </row>
    <row r="10" customFormat="false" ht="22.35" hidden="false" customHeight="false" outlineLevel="0" collapsed="false">
      <c r="B10" s="8" t="s">
        <v>13</v>
      </c>
      <c r="C10" s="5" t="n">
        <v>18</v>
      </c>
      <c r="D10" s="10" t="s">
        <v>14</v>
      </c>
      <c r="E10" s="11"/>
      <c r="F10" s="11"/>
      <c r="G10" s="11"/>
    </row>
    <row r="11" customFormat="false" ht="22.35" hidden="false" customHeight="false" outlineLevel="0" collapsed="false">
      <c r="B11" s="4" t="s">
        <v>15</v>
      </c>
      <c r="C11" s="9" t="n">
        <v>0.025</v>
      </c>
      <c r="D11" s="6" t="s">
        <v>16</v>
      </c>
      <c r="E11" s="7"/>
      <c r="F11" s="7"/>
      <c r="G11" s="7"/>
    </row>
    <row r="12" customFormat="false" ht="22.35" hidden="false" customHeight="false" outlineLevel="0" collapsed="false">
      <c r="B12" s="8" t="s">
        <v>17</v>
      </c>
      <c r="C12" s="9" t="n">
        <v>0.04</v>
      </c>
      <c r="D12" s="10" t="s">
        <v>18</v>
      </c>
      <c r="E12" s="11"/>
      <c r="F12" s="11"/>
      <c r="G12" s="11"/>
    </row>
    <row r="13" customFormat="false" ht="22.35" hidden="false" customHeight="false" outlineLevel="0" collapsed="false">
      <c r="B13" s="4" t="s">
        <v>19</v>
      </c>
      <c r="C13" s="9" t="n">
        <v>0.15</v>
      </c>
      <c r="D13" s="6" t="s">
        <v>20</v>
      </c>
      <c r="E13" s="7"/>
      <c r="F13" s="7"/>
      <c r="G13" s="7"/>
    </row>
    <row r="14" customFormat="false" ht="22.35" hidden="false" customHeight="false" outlineLevel="0" collapsed="false">
      <c r="B14" s="8" t="s">
        <v>21</v>
      </c>
      <c r="C14" s="9" t="n">
        <v>0.3</v>
      </c>
      <c r="D14" s="10" t="s">
        <v>22</v>
      </c>
      <c r="E14" s="11"/>
      <c r="F14" s="11"/>
      <c r="G14" s="11"/>
    </row>
    <row r="15" customFormat="false" ht="22.35" hidden="false" customHeight="false" outlineLevel="0" collapsed="false">
      <c r="B15" s="4" t="s">
        <v>23</v>
      </c>
      <c r="C15" s="9" t="n">
        <v>0.45</v>
      </c>
      <c r="D15" s="6" t="s">
        <v>24</v>
      </c>
      <c r="E15" s="7"/>
      <c r="F15" s="7"/>
      <c r="G15" s="7"/>
    </row>
    <row r="16" customFormat="false" ht="23.85" hidden="false" customHeight="false" outlineLevel="0" collapsed="false">
      <c r="B16" s="8" t="s">
        <v>25</v>
      </c>
      <c r="C16" s="12" t="n">
        <v>1.8</v>
      </c>
      <c r="D16" s="10" t="s">
        <v>26</v>
      </c>
      <c r="E16" s="11"/>
      <c r="F16" s="11"/>
      <c r="G16" s="11"/>
    </row>
    <row r="17" customFormat="false" ht="22.35" hidden="false" customHeight="false" outlineLevel="0" collapsed="false">
      <c r="B17" s="4" t="s">
        <v>27</v>
      </c>
      <c r="C17" s="5" t="n">
        <v>100</v>
      </c>
      <c r="D17" s="6" t="s">
        <v>28</v>
      </c>
      <c r="E17" s="7"/>
      <c r="F17" s="7"/>
      <c r="G17" s="7"/>
    </row>
    <row r="18" customFormat="false" ht="22.35" hidden="false" customHeight="false" outlineLevel="0" collapsed="false">
      <c r="B18" s="8" t="s">
        <v>29</v>
      </c>
      <c r="C18" s="5" t="n">
        <v>750</v>
      </c>
      <c r="D18" s="10" t="s">
        <v>30</v>
      </c>
      <c r="E18" s="11"/>
      <c r="F18" s="11"/>
      <c r="G18" s="11"/>
    </row>
    <row r="20" customFormat="false" ht="27.75" hidden="false" customHeight="true" outlineLevel="0" collapsed="false">
      <c r="B20" s="13" t="s">
        <v>31</v>
      </c>
      <c r="C20" s="13"/>
      <c r="D20" s="13"/>
      <c r="E20" s="13"/>
      <c r="F20" s="13"/>
      <c r="G20" s="13"/>
    </row>
    <row r="21" customFormat="false" ht="30" hidden="false" customHeight="true" outlineLevel="0" collapsed="false">
      <c r="B21" s="14" t="s">
        <v>32</v>
      </c>
      <c r="C21" s="14" t="s">
        <v>33</v>
      </c>
      <c r="D21" s="14" t="s">
        <v>34</v>
      </c>
      <c r="E21" s="14" t="s">
        <v>35</v>
      </c>
      <c r="F21" s="14" t="s">
        <v>36</v>
      </c>
      <c r="G21" s="14" t="s">
        <v>37</v>
      </c>
    </row>
    <row r="22" customFormat="false" ht="45" hidden="false" customHeight="true" outlineLevel="0" collapsed="false">
      <c r="B22" s="4" t="s">
        <v>38</v>
      </c>
      <c r="C22" s="5" t="n">
        <v>35000</v>
      </c>
      <c r="D22" s="15" t="n">
        <f aca="false">C22/C30</f>
        <v>0.2</v>
      </c>
      <c r="E22" s="16" t="n">
        <f aca="false">C22/C9*C13</f>
        <v>437.5</v>
      </c>
      <c r="F22" s="17" t="n">
        <f aca="false">IF(E22&gt;0,C22/E22,"-")</f>
        <v>80</v>
      </c>
      <c r="G22" s="18" t="s">
        <v>39</v>
      </c>
    </row>
    <row r="23" customFormat="false" ht="45" hidden="false" customHeight="true" outlineLevel="0" collapsed="false">
      <c r="B23" s="8" t="s">
        <v>40</v>
      </c>
      <c r="C23" s="5" t="n">
        <v>45000</v>
      </c>
      <c r="D23" s="19" t="n">
        <f aca="false">C23/C30</f>
        <v>0.257142857142857</v>
      </c>
      <c r="E23" s="20" t="n">
        <f aca="false">C23/C9*C13</f>
        <v>562.5</v>
      </c>
      <c r="F23" s="21" t="n">
        <f aca="false">IF(E23&gt;0,C23/E23,"-")</f>
        <v>80</v>
      </c>
      <c r="G23" s="22" t="s">
        <v>41</v>
      </c>
    </row>
    <row r="24" customFormat="false" ht="45" hidden="false" customHeight="true" outlineLevel="0" collapsed="false">
      <c r="B24" s="4" t="s">
        <v>42</v>
      </c>
      <c r="C24" s="5" t="n">
        <v>35000</v>
      </c>
      <c r="D24" s="15" t="n">
        <f aca="false">C24/C30</f>
        <v>0.2</v>
      </c>
      <c r="E24" s="16" t="n">
        <f aca="false">C24/C10*C13</f>
        <v>291.666666666667</v>
      </c>
      <c r="F24" s="17" t="n">
        <f aca="false">IF(E24&gt;0,C24/E24,"-")</f>
        <v>120</v>
      </c>
      <c r="G24" s="18" t="s">
        <v>43</v>
      </c>
    </row>
    <row r="25" customFormat="false" ht="30" hidden="false" customHeight="true" outlineLevel="0" collapsed="false">
      <c r="B25" s="8" t="s">
        <v>44</v>
      </c>
      <c r="C25" s="5" t="n">
        <v>10000</v>
      </c>
      <c r="D25" s="19" t="n">
        <f aca="false">C25/C30</f>
        <v>0.0571428571428571</v>
      </c>
      <c r="E25" s="20" t="n">
        <v>15</v>
      </c>
      <c r="F25" s="21" t="n">
        <f aca="false">IF(E25&gt;0,C25/E25,"-")</f>
        <v>666.666666666667</v>
      </c>
      <c r="G25" s="22" t="s">
        <v>45</v>
      </c>
    </row>
    <row r="26" customFormat="false" ht="39.75" hidden="false" customHeight="true" outlineLevel="0" collapsed="false">
      <c r="B26" s="4" t="s">
        <v>46</v>
      </c>
      <c r="C26" s="5" t="n">
        <v>20000</v>
      </c>
      <c r="D26" s="15" t="n">
        <f aca="false">C26/C30</f>
        <v>0.114285714285714</v>
      </c>
      <c r="E26" s="16" t="n">
        <f aca="false">C26/C17*C14</f>
        <v>60</v>
      </c>
      <c r="F26" s="17" t="n">
        <f aca="false">IF(E26&gt;0,C26/E26,"-")</f>
        <v>333.333333333333</v>
      </c>
      <c r="G26" s="18" t="s">
        <v>47</v>
      </c>
    </row>
    <row r="27" customFormat="false" ht="30" hidden="false" customHeight="true" outlineLevel="0" collapsed="false">
      <c r="B27" s="8" t="s">
        <v>48</v>
      </c>
      <c r="C27" s="5" t="n">
        <v>15000</v>
      </c>
      <c r="D27" s="19" t="n">
        <f aca="false">C27/C30</f>
        <v>0.0857142857142857</v>
      </c>
      <c r="E27" s="20" t="n">
        <v>12</v>
      </c>
      <c r="F27" s="21" t="n">
        <f aca="false">IF(E27&gt;0,C27/E27,"-")</f>
        <v>1250</v>
      </c>
      <c r="G27" s="22" t="s">
        <v>49</v>
      </c>
    </row>
    <row r="28" customFormat="false" ht="39.75" hidden="false" customHeight="true" outlineLevel="0" collapsed="false">
      <c r="B28" s="4" t="s">
        <v>50</v>
      </c>
      <c r="C28" s="5" t="n">
        <v>10000</v>
      </c>
      <c r="D28" s="15" t="n">
        <f aca="false">C28/C30</f>
        <v>0.0571428571428571</v>
      </c>
      <c r="E28" s="16" t="n">
        <v>8</v>
      </c>
      <c r="F28" s="17" t="n">
        <f aca="false">IF(E28&gt;0,C28/E28,"-")</f>
        <v>1250</v>
      </c>
      <c r="G28" s="18" t="s">
        <v>51</v>
      </c>
    </row>
    <row r="29" customFormat="false" ht="30" hidden="false" customHeight="true" outlineLevel="0" collapsed="false">
      <c r="B29" s="8" t="s">
        <v>52</v>
      </c>
      <c r="C29" s="5" t="n">
        <v>5000</v>
      </c>
      <c r="D29" s="19" t="n">
        <f aca="false">C29/C30</f>
        <v>0.0285714285714286</v>
      </c>
      <c r="E29" s="20" t="n">
        <v>5</v>
      </c>
      <c r="F29" s="21" t="n">
        <f aca="false">IF(E29&gt;0,C29/E29,"-")</f>
        <v>1000</v>
      </c>
      <c r="G29" s="22" t="s">
        <v>53</v>
      </c>
    </row>
    <row r="30" customFormat="false" ht="15" hidden="false" customHeight="false" outlineLevel="0" collapsed="false">
      <c r="B30" s="23" t="s">
        <v>54</v>
      </c>
      <c r="C30" s="24" t="n">
        <f aca="false">SUM(C22:C29)</f>
        <v>175000</v>
      </c>
      <c r="D30" s="25" t="n">
        <v>1</v>
      </c>
      <c r="E30" s="26" t="n">
        <f aca="false">SUM(E22:E29)</f>
        <v>1391.66666666667</v>
      </c>
      <c r="F30" s="26" t="n">
        <f aca="false">IF(E30&gt;0,C30/E30,0)</f>
        <v>125.748502994012</v>
      </c>
      <c r="G30" s="27" t="s">
        <v>55</v>
      </c>
    </row>
  </sheetData>
  <mergeCells count="4">
    <mergeCell ref="B1:G1"/>
    <mergeCell ref="B2:G2"/>
    <mergeCell ref="B4:G4"/>
    <mergeCell ref="B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82"/>
    <pageSetUpPr fitToPage="false"/>
  </sheetPr>
  <dimension ref="B1:O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4" min="3" style="0" width="14"/>
    <col collapsed="false" customWidth="true" hidden="false" outlineLevel="0" max="15" min="15" style="0" width="16"/>
  </cols>
  <sheetData>
    <row r="1" customFormat="false" ht="31.5" hidden="false" customHeight="true" outlineLevel="0" collapsed="false">
      <c r="B1" s="28" t="s">
        <v>56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customFormat="false" ht="27.75" hidden="false" customHeight="true" outlineLevel="0" collapsed="false">
      <c r="B3" s="14" t="s">
        <v>57</v>
      </c>
      <c r="C3" s="14" t="s">
        <v>58</v>
      </c>
      <c r="D3" s="14" t="s">
        <v>59</v>
      </c>
      <c r="E3" s="14" t="s">
        <v>60</v>
      </c>
      <c r="F3" s="14" t="s">
        <v>61</v>
      </c>
      <c r="G3" s="14" t="s">
        <v>62</v>
      </c>
      <c r="H3" s="14" t="s">
        <v>63</v>
      </c>
      <c r="I3" s="14" t="s">
        <v>64</v>
      </c>
      <c r="J3" s="14" t="s">
        <v>65</v>
      </c>
      <c r="K3" s="14" t="s">
        <v>66</v>
      </c>
      <c r="L3" s="14" t="s">
        <v>67</v>
      </c>
      <c r="M3" s="14" t="s">
        <v>68</v>
      </c>
      <c r="N3" s="14" t="s">
        <v>69</v>
      </c>
      <c r="O3" s="29" t="s">
        <v>70</v>
      </c>
    </row>
    <row r="4" customFormat="false" ht="24.75" hidden="false" customHeight="true" outlineLevel="0" collapsed="false">
      <c r="B4" s="13" t="s">
        <v>71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customFormat="false" ht="15" hidden="false" customHeight="false" outlineLevel="0" collapsed="false">
      <c r="B5" s="30" t="s">
        <v>72</v>
      </c>
      <c r="C5" s="5" t="n">
        <v>125000</v>
      </c>
      <c r="D5" s="5" t="n">
        <v>150000</v>
      </c>
      <c r="E5" s="5" t="n">
        <v>175000</v>
      </c>
      <c r="F5" s="5" t="n">
        <v>175000</v>
      </c>
      <c r="G5" s="5" t="n">
        <v>190000</v>
      </c>
      <c r="H5" s="5" t="n">
        <v>190000</v>
      </c>
      <c r="I5" s="5" t="n">
        <v>175000</v>
      </c>
      <c r="J5" s="5" t="n">
        <v>160000</v>
      </c>
      <c r="K5" s="5" t="n">
        <v>150000</v>
      </c>
      <c r="L5" s="5" t="n">
        <v>150000</v>
      </c>
      <c r="M5" s="5" t="n">
        <v>140000</v>
      </c>
      <c r="N5" s="5" t="n">
        <v>130000</v>
      </c>
      <c r="O5" s="24" t="n">
        <f aca="false">SUM(C5:N5)</f>
        <v>1910000</v>
      </c>
    </row>
    <row r="6" customFormat="false" ht="15" hidden="false" customHeight="false" outlineLevel="0" collapsed="false">
      <c r="B6" s="30" t="s">
        <v>73</v>
      </c>
      <c r="C6" s="5" t="n">
        <v>75000</v>
      </c>
      <c r="D6" s="5" t="n">
        <v>25000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24" t="n">
        <f aca="false">SUM(C6:N6)</f>
        <v>100000</v>
      </c>
    </row>
    <row r="7" customFormat="false" ht="15" hidden="false" customHeight="false" outlineLevel="0" collapsed="false">
      <c r="B7" s="23" t="s">
        <v>74</v>
      </c>
      <c r="C7" s="24" t="n">
        <f aca="false">C5+C6</f>
        <v>200000</v>
      </c>
      <c r="D7" s="24" t="n">
        <f aca="false">D5+D6</f>
        <v>175000</v>
      </c>
      <c r="E7" s="24" t="n">
        <f aca="false">E5+E6</f>
        <v>175000</v>
      </c>
      <c r="F7" s="24" t="n">
        <f aca="false">F5+F6</f>
        <v>175000</v>
      </c>
      <c r="G7" s="24" t="n">
        <f aca="false">G5+G6</f>
        <v>190000</v>
      </c>
      <c r="H7" s="24" t="n">
        <f aca="false">H5+H6</f>
        <v>190000</v>
      </c>
      <c r="I7" s="24" t="n">
        <f aca="false">I5+I6</f>
        <v>175000</v>
      </c>
      <c r="J7" s="24" t="n">
        <f aca="false">J5+J6</f>
        <v>160000</v>
      </c>
      <c r="K7" s="24" t="n">
        <f aca="false">K5+K6</f>
        <v>150000</v>
      </c>
      <c r="L7" s="24" t="n">
        <f aca="false">L5+L6</f>
        <v>150000</v>
      </c>
      <c r="M7" s="24" t="n">
        <f aca="false">M5+M6</f>
        <v>140000</v>
      </c>
      <c r="N7" s="24" t="n">
        <f aca="false">N5+N6</f>
        <v>130000</v>
      </c>
      <c r="O7" s="24" t="n">
        <f aca="false">SUM(C7:N7)</f>
        <v>2010000</v>
      </c>
    </row>
    <row r="9" customFormat="false" ht="24.75" hidden="false" customHeight="true" outlineLevel="0" collapsed="false">
      <c r="B9" s="13" t="s">
        <v>75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customFormat="false" ht="15" hidden="false" customHeight="false" outlineLevel="0" collapsed="false">
      <c r="B10" s="30" t="s">
        <v>76</v>
      </c>
      <c r="C10" s="31" t="n">
        <v>40</v>
      </c>
      <c r="D10" s="31" t="n">
        <v>55</v>
      </c>
      <c r="E10" s="31" t="n">
        <v>70</v>
      </c>
      <c r="F10" s="31" t="n">
        <v>80</v>
      </c>
      <c r="G10" s="31" t="n">
        <v>95</v>
      </c>
      <c r="H10" s="31" t="n">
        <v>100</v>
      </c>
      <c r="I10" s="31" t="n">
        <v>95</v>
      </c>
      <c r="J10" s="31" t="n">
        <v>90</v>
      </c>
      <c r="K10" s="31" t="n">
        <v>85</v>
      </c>
      <c r="L10" s="31" t="n">
        <v>85</v>
      </c>
      <c r="M10" s="31" t="n">
        <v>80</v>
      </c>
      <c r="N10" s="31" t="n">
        <v>75</v>
      </c>
      <c r="O10" s="26" t="n">
        <f aca="false">SUM(C10:N10)</f>
        <v>950</v>
      </c>
    </row>
    <row r="11" customFormat="false" ht="15" hidden="false" customHeight="false" outlineLevel="0" collapsed="false">
      <c r="B11" s="30" t="s">
        <v>77</v>
      </c>
      <c r="C11" s="31" t="n">
        <v>5</v>
      </c>
      <c r="D11" s="32" t="n">
        <f aca="false">ROUND(C14*0.08,0)</f>
        <v>4</v>
      </c>
      <c r="E11" s="32" t="n">
        <f aca="false">ROUND(D14*0.08,0)</f>
        <v>10</v>
      </c>
      <c r="F11" s="32" t="n">
        <f aca="false">ROUND(E14*0.08,0)</f>
        <v>18</v>
      </c>
      <c r="G11" s="32" t="n">
        <f aca="false">ROUND(F14*0.08,0)</f>
        <v>27</v>
      </c>
      <c r="H11" s="32" t="n">
        <f aca="false">ROUND(G14*0.08,0)</f>
        <v>39</v>
      </c>
      <c r="I11" s="32" t="n">
        <f aca="false">ROUND(H14*0.08,0)</f>
        <v>52</v>
      </c>
      <c r="J11" s="32" t="n">
        <f aca="false">ROUND(I14*0.08,0)</f>
        <v>67</v>
      </c>
      <c r="K11" s="32" t="n">
        <f aca="false">ROUND(J14*0.08,0)</f>
        <v>83</v>
      </c>
      <c r="L11" s="32" t="n">
        <f aca="false">ROUND(K14*0.08,0)</f>
        <v>100</v>
      </c>
      <c r="M11" s="32" t="n">
        <f aca="false">ROUND(L14*0.08,0)</f>
        <v>118</v>
      </c>
      <c r="N11" s="32" t="n">
        <f aca="false">ROUND(M14*0.08,0)</f>
        <v>139</v>
      </c>
      <c r="O11" s="26" t="n">
        <f aca="false">SUM(C11:N11)</f>
        <v>662</v>
      </c>
    </row>
    <row r="12" customFormat="false" ht="15" hidden="false" customHeight="false" outlineLevel="0" collapsed="false">
      <c r="B12" s="30" t="s">
        <v>78</v>
      </c>
      <c r="C12" s="31" t="n">
        <v>8</v>
      </c>
      <c r="D12" s="31" t="n">
        <v>12</v>
      </c>
      <c r="E12" s="31" t="n">
        <v>15</v>
      </c>
      <c r="F12" s="31" t="n">
        <v>20</v>
      </c>
      <c r="G12" s="31" t="n">
        <v>25</v>
      </c>
      <c r="H12" s="31" t="n">
        <v>30</v>
      </c>
      <c r="I12" s="31" t="n">
        <v>35</v>
      </c>
      <c r="J12" s="31" t="n">
        <v>40</v>
      </c>
      <c r="K12" s="31" t="n">
        <v>45</v>
      </c>
      <c r="L12" s="31" t="n">
        <v>50</v>
      </c>
      <c r="M12" s="31" t="n">
        <v>55</v>
      </c>
      <c r="N12" s="31" t="n">
        <v>60</v>
      </c>
      <c r="O12" s="26" t="n">
        <f aca="false">SUM(C12:N12)</f>
        <v>395</v>
      </c>
    </row>
    <row r="13" customFormat="false" ht="15" hidden="false" customHeight="false" outlineLevel="0" collapsed="false">
      <c r="B13" s="33" t="s">
        <v>79</v>
      </c>
      <c r="C13" s="34" t="n">
        <f aca="false">C10+C11+C12</f>
        <v>53</v>
      </c>
      <c r="D13" s="34" t="n">
        <f aca="false">D10+D11+D12</f>
        <v>71</v>
      </c>
      <c r="E13" s="34" t="n">
        <f aca="false">E10+E11+E12</f>
        <v>95</v>
      </c>
      <c r="F13" s="34" t="n">
        <f aca="false">F10+F11+F12</f>
        <v>118</v>
      </c>
      <c r="G13" s="34" t="n">
        <f aca="false">G10+G11+G12</f>
        <v>147</v>
      </c>
      <c r="H13" s="34" t="n">
        <f aca="false">H10+H11+H12</f>
        <v>169</v>
      </c>
      <c r="I13" s="34" t="n">
        <f aca="false">I10+I11+I12</f>
        <v>182</v>
      </c>
      <c r="J13" s="34" t="n">
        <f aca="false">J10+J11+J12</f>
        <v>197</v>
      </c>
      <c r="K13" s="34" t="n">
        <f aca="false">K10+K11+K12</f>
        <v>213</v>
      </c>
      <c r="L13" s="34" t="n">
        <f aca="false">L10+L11+L12</f>
        <v>235</v>
      </c>
      <c r="M13" s="34" t="n">
        <f aca="false">M10+M11+M12</f>
        <v>253</v>
      </c>
      <c r="N13" s="34" t="n">
        <f aca="false">N10+N11+N12</f>
        <v>274</v>
      </c>
      <c r="O13" s="26" t="n">
        <f aca="false">SUM(C13:N13)</f>
        <v>2007</v>
      </c>
    </row>
    <row r="14" customFormat="false" ht="15" hidden="false" customHeight="false" outlineLevel="0" collapsed="false">
      <c r="B14" s="30" t="s">
        <v>80</v>
      </c>
      <c r="C14" s="32" t="n">
        <f aca="false">C13</f>
        <v>53</v>
      </c>
      <c r="D14" s="32" t="n">
        <f aca="false">C14+D13</f>
        <v>124</v>
      </c>
      <c r="E14" s="32" t="n">
        <f aca="false">D14+E13</f>
        <v>219</v>
      </c>
      <c r="F14" s="32" t="n">
        <f aca="false">E14+F13</f>
        <v>337</v>
      </c>
      <c r="G14" s="32" t="n">
        <f aca="false">F14+G13</f>
        <v>484</v>
      </c>
      <c r="H14" s="32" t="n">
        <f aca="false">G14+H13</f>
        <v>653</v>
      </c>
      <c r="I14" s="32" t="n">
        <f aca="false">H14+I13</f>
        <v>835</v>
      </c>
      <c r="J14" s="32" t="n">
        <f aca="false">I14+J13</f>
        <v>1032</v>
      </c>
      <c r="K14" s="32" t="n">
        <f aca="false">J14+K13</f>
        <v>1245</v>
      </c>
      <c r="L14" s="32" t="n">
        <f aca="false">K14+L13</f>
        <v>1480</v>
      </c>
      <c r="M14" s="32" t="n">
        <f aca="false">L14+M13</f>
        <v>1733</v>
      </c>
      <c r="N14" s="32" t="n">
        <f aca="false">M14+N13</f>
        <v>2007</v>
      </c>
      <c r="O14" s="26" t="n">
        <f aca="false">N14</f>
        <v>2007</v>
      </c>
    </row>
    <row r="15" customFormat="false" ht="23.85" hidden="false" customHeight="false" outlineLevel="0" collapsed="false">
      <c r="B15" s="30" t="s">
        <v>81</v>
      </c>
      <c r="C15" s="35" t="n">
        <f aca="false">IF(C13&gt;0,C7/C13,0)</f>
        <v>3773.58490566038</v>
      </c>
      <c r="D15" s="35" t="n">
        <f aca="false">IF(D13&gt;0,D7/D13,0)</f>
        <v>2464.78873239437</v>
      </c>
      <c r="E15" s="35" t="n">
        <f aca="false">IF(E13&gt;0,E7/E13,0)</f>
        <v>1842.10526315789</v>
      </c>
      <c r="F15" s="35" t="n">
        <f aca="false">IF(F13&gt;0,F7/F13,0)</f>
        <v>1483.05084745763</v>
      </c>
      <c r="G15" s="35" t="n">
        <f aca="false">IF(G13&gt;0,G7/G13,0)</f>
        <v>1292.51700680272</v>
      </c>
      <c r="H15" s="35" t="n">
        <f aca="false">IF(H13&gt;0,H7/H13,0)</f>
        <v>1124.26035502959</v>
      </c>
      <c r="I15" s="35" t="n">
        <f aca="false">IF(I13&gt;0,I7/I13,0)</f>
        <v>961.538461538462</v>
      </c>
      <c r="J15" s="35" t="n">
        <f aca="false">IF(J13&gt;0,J7/J13,0)</f>
        <v>812.182741116751</v>
      </c>
      <c r="K15" s="35" t="n">
        <f aca="false">IF(K13&gt;0,K7/K13,0)</f>
        <v>704.225352112676</v>
      </c>
      <c r="L15" s="35" t="n">
        <f aca="false">IF(L13&gt;0,L7/L13,0)</f>
        <v>638.297872340426</v>
      </c>
      <c r="M15" s="35" t="n">
        <f aca="false">IF(M13&gt;0,M7/M13,0)</f>
        <v>553.359683794466</v>
      </c>
      <c r="N15" s="35" t="n">
        <f aca="false">IF(N13&gt;0,N7/N13,0)</f>
        <v>474.452554744526</v>
      </c>
      <c r="O15" s="26" t="n">
        <f aca="false">IF(O13&gt;0,O7/O13,0)</f>
        <v>1001.49476831091</v>
      </c>
    </row>
    <row r="17" customFormat="false" ht="24.75" hidden="false" customHeight="true" outlineLevel="0" collapsed="false">
      <c r="B17" s="13" t="s">
        <v>82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customFormat="false" ht="15" hidden="false" customHeight="false" outlineLevel="0" collapsed="false">
      <c r="B18" s="30" t="s">
        <v>83</v>
      </c>
      <c r="C18" s="32" t="n">
        <f aca="false">C13</f>
        <v>53</v>
      </c>
      <c r="D18" s="32" t="n">
        <f aca="false">D13</f>
        <v>71</v>
      </c>
      <c r="E18" s="32" t="n">
        <f aca="false">E13</f>
        <v>95</v>
      </c>
      <c r="F18" s="32" t="n">
        <f aca="false">F13</f>
        <v>118</v>
      </c>
      <c r="G18" s="32" t="n">
        <f aca="false">G13</f>
        <v>147</v>
      </c>
      <c r="H18" s="32" t="n">
        <f aca="false">H13</f>
        <v>169</v>
      </c>
      <c r="I18" s="32" t="n">
        <f aca="false">I13</f>
        <v>182</v>
      </c>
      <c r="J18" s="32" t="n">
        <f aca="false">J13</f>
        <v>197</v>
      </c>
      <c r="K18" s="32" t="n">
        <f aca="false">K13</f>
        <v>213</v>
      </c>
      <c r="L18" s="32" t="n">
        <f aca="false">L13</f>
        <v>235</v>
      </c>
      <c r="M18" s="32" t="n">
        <f aca="false">M13</f>
        <v>253</v>
      </c>
      <c r="N18" s="32" t="n">
        <f aca="false">N13</f>
        <v>274</v>
      </c>
      <c r="O18" s="26" t="n">
        <f aca="false">SUM(C18:N18)</f>
        <v>2007</v>
      </c>
    </row>
    <row r="19" customFormat="false" ht="15" hidden="false" customHeight="false" outlineLevel="0" collapsed="false">
      <c r="B19" s="30" t="s">
        <v>84</v>
      </c>
      <c r="C19" s="32" t="n">
        <v>0</v>
      </c>
      <c r="D19" s="32" t="n">
        <f aca="false">ROUND(C14*'Marketing Strategy'!$C$15*'Marketing Strategy'!$C$16,0)</f>
        <v>43</v>
      </c>
      <c r="E19" s="32" t="n">
        <f aca="false">ROUND(D14*'Marketing Strategy'!$C$15*'Marketing Strategy'!$C$16,0)</f>
        <v>100</v>
      </c>
      <c r="F19" s="32" t="n">
        <f aca="false">ROUND(E14*'Marketing Strategy'!$C$15*'Marketing Strategy'!$C$16,0)</f>
        <v>177</v>
      </c>
      <c r="G19" s="32" t="n">
        <f aca="false">ROUND(F14*'Marketing Strategy'!$C$15*'Marketing Strategy'!$C$16,0)</f>
        <v>273</v>
      </c>
      <c r="H19" s="32" t="n">
        <f aca="false">ROUND(G14*'Marketing Strategy'!$C$15*'Marketing Strategy'!$C$16,0)</f>
        <v>392</v>
      </c>
      <c r="I19" s="32" t="n">
        <f aca="false">ROUND(H14*'Marketing Strategy'!$C$15*'Marketing Strategy'!$C$16,0)</f>
        <v>529</v>
      </c>
      <c r="J19" s="32" t="n">
        <f aca="false">ROUND(I14*'Marketing Strategy'!$C$15*'Marketing Strategy'!$C$16,0)</f>
        <v>676</v>
      </c>
      <c r="K19" s="32" t="n">
        <f aca="false">ROUND(J14*'Marketing Strategy'!$C$15*'Marketing Strategy'!$C$16,0)</f>
        <v>836</v>
      </c>
      <c r="L19" s="32" t="n">
        <f aca="false">ROUND(K14*'Marketing Strategy'!$C$15*'Marketing Strategy'!$C$16,0)</f>
        <v>1008</v>
      </c>
      <c r="M19" s="32" t="n">
        <f aca="false">ROUND(L14*'Marketing Strategy'!$C$15*'Marketing Strategy'!$C$16,0)</f>
        <v>1199</v>
      </c>
      <c r="N19" s="32" t="n">
        <f aca="false">ROUND(M14*'Marketing Strategy'!$C$15*'Marketing Strategy'!$C$16,0)</f>
        <v>1404</v>
      </c>
      <c r="O19" s="26" t="n">
        <f aca="false">SUM(C19:N19)</f>
        <v>6637</v>
      </c>
    </row>
    <row r="20" customFormat="false" ht="15" hidden="false" customHeight="false" outlineLevel="0" collapsed="false">
      <c r="B20" s="33" t="s">
        <v>85</v>
      </c>
      <c r="C20" s="34" t="n">
        <f aca="false">C18+C19</f>
        <v>53</v>
      </c>
      <c r="D20" s="34" t="n">
        <f aca="false">D18+D19</f>
        <v>114</v>
      </c>
      <c r="E20" s="34" t="n">
        <f aca="false">E18+E19</f>
        <v>195</v>
      </c>
      <c r="F20" s="34" t="n">
        <f aca="false">F18+F19</f>
        <v>295</v>
      </c>
      <c r="G20" s="34" t="n">
        <f aca="false">G18+G19</f>
        <v>420</v>
      </c>
      <c r="H20" s="34" t="n">
        <f aca="false">H18+H19</f>
        <v>561</v>
      </c>
      <c r="I20" s="34" t="n">
        <f aca="false">I18+I19</f>
        <v>711</v>
      </c>
      <c r="J20" s="34" t="n">
        <f aca="false">J18+J19</f>
        <v>873</v>
      </c>
      <c r="K20" s="34" t="n">
        <f aca="false">K18+K19</f>
        <v>1049</v>
      </c>
      <c r="L20" s="34" t="n">
        <f aca="false">L18+L19</f>
        <v>1243</v>
      </c>
      <c r="M20" s="34" t="n">
        <f aca="false">M18+M19</f>
        <v>1452</v>
      </c>
      <c r="N20" s="34" t="n">
        <f aca="false">N18+N19</f>
        <v>1678</v>
      </c>
      <c r="O20" s="26" t="n">
        <f aca="false">SUM(C20:N20)</f>
        <v>8644</v>
      </c>
    </row>
    <row r="21" customFormat="false" ht="15" hidden="false" customHeight="false" outlineLevel="0" collapsed="false">
      <c r="B21" s="30" t="s">
        <v>86</v>
      </c>
      <c r="C21" s="36" t="n">
        <f aca="false">C20*'Marketing Strategy'!$C$5</f>
        <v>21200</v>
      </c>
      <c r="D21" s="36" t="n">
        <f aca="false">D20*'Marketing Strategy'!$C$5</f>
        <v>45600</v>
      </c>
      <c r="E21" s="36" t="n">
        <f aca="false">E20*'Marketing Strategy'!$C$5</f>
        <v>78000</v>
      </c>
      <c r="F21" s="36" t="n">
        <f aca="false">F20*'Marketing Strategy'!$C$5</f>
        <v>118000</v>
      </c>
      <c r="G21" s="36" t="n">
        <f aca="false">G20*'Marketing Strategy'!$C$5</f>
        <v>168000</v>
      </c>
      <c r="H21" s="36" t="n">
        <f aca="false">H20*'Marketing Strategy'!$C$5</f>
        <v>224400</v>
      </c>
      <c r="I21" s="36" t="n">
        <f aca="false">I20*'Marketing Strategy'!$C$5</f>
        <v>284400</v>
      </c>
      <c r="J21" s="36" t="n">
        <f aca="false">J20*'Marketing Strategy'!$C$5</f>
        <v>349200</v>
      </c>
      <c r="K21" s="36" t="n">
        <f aca="false">K20*'Marketing Strategy'!$C$5</f>
        <v>419600</v>
      </c>
      <c r="L21" s="36" t="n">
        <f aca="false">L20*'Marketing Strategy'!$C$5</f>
        <v>497200</v>
      </c>
      <c r="M21" s="36" t="n">
        <f aca="false">M20*'Marketing Strategy'!$C$5</f>
        <v>580800</v>
      </c>
      <c r="N21" s="36" t="n">
        <f aca="false">N20*'Marketing Strategy'!$C$5</f>
        <v>671200</v>
      </c>
      <c r="O21" s="24" t="n">
        <f aca="false">SUM(C21:N21)</f>
        <v>3457600</v>
      </c>
    </row>
    <row r="22" customFormat="false" ht="15" hidden="false" customHeight="false" outlineLevel="0" collapsed="false">
      <c r="B22" s="30" t="s">
        <v>87</v>
      </c>
      <c r="C22" s="36" t="n">
        <f aca="false">C21*'Marketing Strategy'!$C$6-C20*'Marketing Strategy'!$C$7</f>
        <v>10070</v>
      </c>
      <c r="D22" s="36" t="n">
        <f aca="false">D21*'Marketing Strategy'!$C$6-D20*'Marketing Strategy'!$C$7</f>
        <v>21660</v>
      </c>
      <c r="E22" s="36" t="n">
        <f aca="false">E21*'Marketing Strategy'!$C$6-E20*'Marketing Strategy'!$C$7</f>
        <v>37050</v>
      </c>
      <c r="F22" s="36" t="n">
        <f aca="false">F21*'Marketing Strategy'!$C$6-F20*'Marketing Strategy'!$C$7</f>
        <v>56050</v>
      </c>
      <c r="G22" s="36" t="n">
        <f aca="false">G21*'Marketing Strategy'!$C$6-G20*'Marketing Strategy'!$C$7</f>
        <v>79800</v>
      </c>
      <c r="H22" s="36" t="n">
        <f aca="false">H21*'Marketing Strategy'!$C$6-H20*'Marketing Strategy'!$C$7</f>
        <v>106590</v>
      </c>
      <c r="I22" s="36" t="n">
        <f aca="false">I21*'Marketing Strategy'!$C$6-I20*'Marketing Strategy'!$C$7</f>
        <v>135090</v>
      </c>
      <c r="J22" s="36" t="n">
        <f aca="false">J21*'Marketing Strategy'!$C$6-J20*'Marketing Strategy'!$C$7</f>
        <v>165870</v>
      </c>
      <c r="K22" s="36" t="n">
        <f aca="false">K21*'Marketing Strategy'!$C$6-K20*'Marketing Strategy'!$C$7</f>
        <v>199310</v>
      </c>
      <c r="L22" s="36" t="n">
        <f aca="false">L21*'Marketing Strategy'!$C$6-L20*'Marketing Strategy'!$C$7</f>
        <v>236170</v>
      </c>
      <c r="M22" s="36" t="n">
        <f aca="false">M21*'Marketing Strategy'!$C$6-M20*'Marketing Strategy'!$C$7</f>
        <v>275880</v>
      </c>
      <c r="N22" s="36" t="n">
        <f aca="false">N21*'Marketing Strategy'!$C$6-N20*'Marketing Strategy'!$C$7</f>
        <v>318820</v>
      </c>
      <c r="O22" s="24" t="n">
        <f aca="false">SUM(C22:N22)</f>
        <v>1642360</v>
      </c>
    </row>
    <row r="24" customFormat="false" ht="24.75" hidden="false" customHeight="true" outlineLevel="0" collapsed="false">
      <c r="B24" s="13" t="s">
        <v>88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customFormat="false" ht="15" hidden="false" customHeight="false" outlineLevel="0" collapsed="false">
      <c r="B25" s="30" t="s">
        <v>89</v>
      </c>
      <c r="C25" s="5" t="n">
        <v>110000</v>
      </c>
      <c r="D25" s="5" t="n">
        <v>110000</v>
      </c>
      <c r="E25" s="5" t="n">
        <v>115000</v>
      </c>
      <c r="F25" s="5" t="n">
        <v>120000</v>
      </c>
      <c r="G25" s="5" t="n">
        <v>125000</v>
      </c>
      <c r="H25" s="5" t="n">
        <v>130000</v>
      </c>
      <c r="I25" s="5" t="n">
        <v>135000</v>
      </c>
      <c r="J25" s="5" t="n">
        <v>140000</v>
      </c>
      <c r="K25" s="5" t="n">
        <v>145000</v>
      </c>
      <c r="L25" s="5" t="n">
        <v>150000</v>
      </c>
      <c r="M25" s="5" t="n">
        <v>155000</v>
      </c>
      <c r="N25" s="5" t="n">
        <v>160000</v>
      </c>
      <c r="O25" s="24" t="n">
        <f aca="false">SUM(C25:N25)</f>
        <v>1595000</v>
      </c>
    </row>
    <row r="26" customFormat="false" ht="15" hidden="false" customHeight="false" outlineLevel="0" collapsed="false">
      <c r="B26" s="37" t="s">
        <v>90</v>
      </c>
      <c r="C26" s="38" t="n">
        <f aca="false">C22-C7-C25</f>
        <v>-299930</v>
      </c>
      <c r="D26" s="38" t="n">
        <f aca="false">D22-D7-D25</f>
        <v>-263340</v>
      </c>
      <c r="E26" s="38" t="n">
        <f aca="false">E22-E7-E25</f>
        <v>-252950</v>
      </c>
      <c r="F26" s="38" t="n">
        <f aca="false">F22-F7-F25</f>
        <v>-238950</v>
      </c>
      <c r="G26" s="38" t="n">
        <f aca="false">G22-G7-G25</f>
        <v>-235200</v>
      </c>
      <c r="H26" s="38" t="n">
        <f aca="false">H22-H7-H25</f>
        <v>-213410</v>
      </c>
      <c r="I26" s="38" t="n">
        <f aca="false">I22-I7-I25</f>
        <v>-174910</v>
      </c>
      <c r="J26" s="38" t="n">
        <f aca="false">J22-J7-J25</f>
        <v>-134130</v>
      </c>
      <c r="K26" s="38" t="n">
        <f aca="false">K22-K7-K25</f>
        <v>-95690</v>
      </c>
      <c r="L26" s="38" t="n">
        <f aca="false">L22-L7-L25</f>
        <v>-63830</v>
      </c>
      <c r="M26" s="38" t="n">
        <f aca="false">M22-M7-M25</f>
        <v>-19120</v>
      </c>
      <c r="N26" s="38" t="n">
        <f aca="false">N22-N7-N25</f>
        <v>28820.0000000001</v>
      </c>
      <c r="O26" s="39" t="n">
        <f aca="false">SUM(C26:N26)</f>
        <v>-1962640</v>
      </c>
    </row>
    <row r="27" customFormat="false" ht="15" hidden="false" customHeight="false" outlineLevel="0" collapsed="false">
      <c r="B27" s="30" t="s">
        <v>91</v>
      </c>
      <c r="C27" s="40" t="n">
        <f aca="false">C26</f>
        <v>-299930</v>
      </c>
      <c r="D27" s="40" t="n">
        <f aca="false">C27+D26</f>
        <v>-563270</v>
      </c>
      <c r="E27" s="40" t="n">
        <f aca="false">D27+E26</f>
        <v>-816220</v>
      </c>
      <c r="F27" s="40" t="n">
        <f aca="false">E27+F26</f>
        <v>-1055170</v>
      </c>
      <c r="G27" s="40" t="n">
        <f aca="false">F27+G26</f>
        <v>-1290370</v>
      </c>
      <c r="H27" s="40" t="n">
        <f aca="false">G27+H26</f>
        <v>-1503780</v>
      </c>
      <c r="I27" s="40" t="n">
        <f aca="false">H27+I26</f>
        <v>-1678690</v>
      </c>
      <c r="J27" s="40" t="n">
        <f aca="false">I27+J26</f>
        <v>-1812820</v>
      </c>
      <c r="K27" s="40" t="n">
        <f aca="false">J27+K26</f>
        <v>-1908510</v>
      </c>
      <c r="L27" s="40" t="n">
        <f aca="false">K27+L26</f>
        <v>-1972340</v>
      </c>
      <c r="M27" s="40" t="n">
        <f aca="false">L27+M26</f>
        <v>-1991460</v>
      </c>
      <c r="N27" s="40" t="n">
        <f aca="false">M27+N26</f>
        <v>-1962640</v>
      </c>
      <c r="O27" s="39" t="n">
        <f aca="false">N27</f>
        <v>-1962640</v>
      </c>
    </row>
    <row r="28" customFormat="false" ht="15" hidden="false" customHeight="false" outlineLevel="0" collapsed="false">
      <c r="B28" s="30" t="s">
        <v>92</v>
      </c>
      <c r="C28" s="41" t="n">
        <f aca="false">IF(C7&gt;0,(C21-C7)/C7,0)</f>
        <v>-0.894</v>
      </c>
      <c r="D28" s="41" t="n">
        <f aca="false">IF(D7&gt;0,(D21-D7)/D7,0)</f>
        <v>-0.739428571428571</v>
      </c>
      <c r="E28" s="41" t="n">
        <f aca="false">IF(E7&gt;0,(E21-E7)/E7,0)</f>
        <v>-0.554285714285714</v>
      </c>
      <c r="F28" s="41" t="n">
        <f aca="false">IF(F7&gt;0,(F21-F7)/F7,0)</f>
        <v>-0.325714285714286</v>
      </c>
      <c r="G28" s="41" t="n">
        <f aca="false">IF(G7&gt;0,(G21-G7)/G7,0)</f>
        <v>-0.115789473684211</v>
      </c>
      <c r="H28" s="41" t="n">
        <f aca="false">IF(H7&gt;0,(H21-H7)/H7,0)</f>
        <v>0.181052631578947</v>
      </c>
      <c r="I28" s="41" t="n">
        <f aca="false">IF(I7&gt;0,(I21-I7)/I7,0)</f>
        <v>0.625142857142857</v>
      </c>
      <c r="J28" s="41" t="n">
        <f aca="false">IF(J7&gt;0,(J21-J7)/J7,0)</f>
        <v>1.1825</v>
      </c>
      <c r="K28" s="41" t="n">
        <f aca="false">IF(K7&gt;0,(K21-K7)/K7,0)</f>
        <v>1.79733333333333</v>
      </c>
      <c r="L28" s="41" t="n">
        <f aca="false">IF(L7&gt;0,(L21-L7)/L7,0)</f>
        <v>2.31466666666667</v>
      </c>
      <c r="M28" s="41" t="n">
        <f aca="false">IF(M7&gt;0,(M21-M7)/M7,0)</f>
        <v>3.14857142857143</v>
      </c>
      <c r="N28" s="41" t="n">
        <f aca="false">IF(N7&gt;0,(N21-N7)/N7,0)</f>
        <v>4.16307692307692</v>
      </c>
      <c r="O28" s="25" t="n">
        <f aca="false">IF(O7&gt;0,(O21-O7)/O7,0)</f>
        <v>0.720199004975124</v>
      </c>
    </row>
    <row r="30" customFormat="false" ht="15" hidden="false" customHeight="false" outlineLevel="0" collapsed="false">
      <c r="B30" s="13" t="s">
        <v>93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customFormat="false" ht="15" hidden="false" customHeight="false" outlineLevel="0" collapsed="false">
      <c r="B31" s="30" t="s">
        <v>94</v>
      </c>
      <c r="C31" s="42" t="n">
        <f aca="false">IF(C7&gt;0,C21/C7,0)</f>
        <v>0.106</v>
      </c>
      <c r="D31" s="42" t="n">
        <f aca="false">IF(D7&gt;0,D21/D7,0)</f>
        <v>0.260571428571429</v>
      </c>
      <c r="E31" s="42" t="n">
        <f aca="false">IF(E7&gt;0,E21/E7,0)</f>
        <v>0.445714285714286</v>
      </c>
      <c r="F31" s="42" t="n">
        <f aca="false">IF(F7&gt;0,F21/F7,0)</f>
        <v>0.674285714285714</v>
      </c>
      <c r="G31" s="42" t="n">
        <f aca="false">IF(G7&gt;0,G21/G7,0)</f>
        <v>0.884210526315789</v>
      </c>
      <c r="H31" s="42" t="n">
        <f aca="false">IF(H7&gt;0,H21/H7,0)</f>
        <v>1.18105263157895</v>
      </c>
      <c r="I31" s="42" t="n">
        <f aca="false">IF(I7&gt;0,I21/I7,0)</f>
        <v>1.62514285714286</v>
      </c>
      <c r="J31" s="42" t="n">
        <f aca="false">IF(J7&gt;0,J21/J7,0)</f>
        <v>2.1825</v>
      </c>
      <c r="K31" s="42" t="n">
        <f aca="false">IF(K7&gt;0,K21/K7,0)</f>
        <v>2.79733333333333</v>
      </c>
      <c r="L31" s="42" t="n">
        <f aca="false">IF(L7&gt;0,L21/L7,0)</f>
        <v>3.31466666666667</v>
      </c>
      <c r="M31" s="42" t="n">
        <f aca="false">IF(M7&gt;0,M21/M7,0)</f>
        <v>4.14857142857143</v>
      </c>
      <c r="N31" s="42" t="n">
        <f aca="false">IF(N7&gt;0,N21/N7,0)</f>
        <v>5.16307692307692</v>
      </c>
      <c r="O31" s="43" t="n">
        <f aca="false">IF(O7&gt;0,O21/O7,0)</f>
        <v>1.72019900497512</v>
      </c>
    </row>
    <row r="32" customFormat="false" ht="15" hidden="false" customHeight="false" outlineLevel="0" collapsed="false">
      <c r="B32" s="30" t="s">
        <v>95</v>
      </c>
      <c r="C32" s="44" t="n">
        <f aca="false">IF(C14&gt;0,C20/C14,0)</f>
        <v>1</v>
      </c>
      <c r="D32" s="44" t="n">
        <f aca="false">IF(D14&gt;0,D20/D14,0)</f>
        <v>0.919354838709677</v>
      </c>
      <c r="E32" s="44" t="n">
        <f aca="false">IF(E14&gt;0,E20/E14,0)</f>
        <v>0.89041095890411</v>
      </c>
      <c r="F32" s="44" t="n">
        <f aca="false">IF(F14&gt;0,F20/F14,0)</f>
        <v>0.875370919881306</v>
      </c>
      <c r="G32" s="44" t="n">
        <f aca="false">IF(G14&gt;0,G20/G14,0)</f>
        <v>0.867768595041322</v>
      </c>
      <c r="H32" s="44" t="n">
        <f aca="false">IF(H14&gt;0,H20/H14,0)</f>
        <v>0.859111791730475</v>
      </c>
      <c r="I32" s="44" t="n">
        <f aca="false">IF(I14&gt;0,I20/I14,0)</f>
        <v>0.851497005988024</v>
      </c>
      <c r="J32" s="44" t="n">
        <f aca="false">IF(J14&gt;0,J20/J14,0)</f>
        <v>0.84593023255814</v>
      </c>
      <c r="K32" s="44" t="n">
        <f aca="false">IF(K14&gt;0,K20/K14,0)</f>
        <v>0.842570281124498</v>
      </c>
      <c r="L32" s="44" t="n">
        <f aca="false">IF(L14&gt;0,L20/L14,0)</f>
        <v>0.839864864864865</v>
      </c>
      <c r="M32" s="44" t="n">
        <f aca="false">IF(M14&gt;0,M20/M14,0)</f>
        <v>0.837853433352568</v>
      </c>
      <c r="N32" s="44" t="n">
        <f aca="false">IF(N14&gt;0,N20/N14,0)</f>
        <v>0.836073741903338</v>
      </c>
      <c r="O32" s="45" t="n">
        <f aca="false">IF(O14&gt;0,O20/O14,0)</f>
        <v>4.30692575984056</v>
      </c>
    </row>
  </sheetData>
  <mergeCells count="6">
    <mergeCell ref="B1:N1"/>
    <mergeCell ref="B4:O4"/>
    <mergeCell ref="B9:O9"/>
    <mergeCell ref="B17:O17"/>
    <mergeCell ref="B24:O24"/>
    <mergeCell ref="B30:O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347"/>
    <pageSetUpPr fitToPage="false"/>
  </sheetPr>
  <dimension ref="B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31.5" hidden="false" customHeight="true" outlineLevel="0" collapsed="false">
      <c r="B1" s="28" t="s">
        <v>96</v>
      </c>
      <c r="C1" s="28"/>
      <c r="D1" s="28"/>
      <c r="E1" s="28"/>
      <c r="F1" s="28"/>
    </row>
    <row r="3" customFormat="false" ht="27.75" hidden="false" customHeight="true" outlineLevel="0" collapsed="false">
      <c r="B3" s="14" t="s">
        <v>97</v>
      </c>
      <c r="C3" s="14" t="s">
        <v>98</v>
      </c>
      <c r="D3" s="14" t="s">
        <v>99</v>
      </c>
      <c r="E3" s="14" t="s">
        <v>100</v>
      </c>
      <c r="F3" s="14" t="s">
        <v>101</v>
      </c>
    </row>
    <row r="4" customFormat="false" ht="24.75" hidden="false" customHeight="true" outlineLevel="0" collapsed="false">
      <c r="B4" s="13" t="s">
        <v>102</v>
      </c>
      <c r="C4" s="13"/>
      <c r="D4" s="13"/>
      <c r="E4" s="13"/>
      <c r="F4" s="13"/>
    </row>
    <row r="5" customFormat="false" ht="37.5" hidden="false" customHeight="true" outlineLevel="0" collapsed="false">
      <c r="B5" s="46" t="s">
        <v>103</v>
      </c>
      <c r="C5" s="47" t="s">
        <v>104</v>
      </c>
      <c r="D5" s="48" t="s">
        <v>105</v>
      </c>
      <c r="E5" s="47" t="s">
        <v>106</v>
      </c>
      <c r="F5" s="10" t="s">
        <v>107</v>
      </c>
    </row>
    <row r="6" customFormat="false" ht="37.5" hidden="false" customHeight="true" outlineLevel="0" collapsed="false">
      <c r="B6" s="49" t="s">
        <v>103</v>
      </c>
      <c r="C6" s="50" t="s">
        <v>108</v>
      </c>
      <c r="D6" s="51" t="s">
        <v>109</v>
      </c>
      <c r="E6" s="50" t="s">
        <v>110</v>
      </c>
      <c r="F6" s="6" t="s">
        <v>111</v>
      </c>
    </row>
    <row r="7" customFormat="false" ht="37.5" hidden="false" customHeight="true" outlineLevel="0" collapsed="false">
      <c r="B7" s="46" t="s">
        <v>112</v>
      </c>
      <c r="C7" s="47" t="s">
        <v>113</v>
      </c>
      <c r="D7" s="48" t="s">
        <v>114</v>
      </c>
      <c r="E7" s="47" t="s">
        <v>115</v>
      </c>
      <c r="F7" s="10" t="s">
        <v>116</v>
      </c>
    </row>
    <row r="8" customFormat="false" ht="37.5" hidden="false" customHeight="true" outlineLevel="0" collapsed="false">
      <c r="B8" s="49" t="s">
        <v>112</v>
      </c>
      <c r="C8" s="50" t="s">
        <v>117</v>
      </c>
      <c r="D8" s="51" t="s">
        <v>118</v>
      </c>
      <c r="E8" s="50" t="s">
        <v>119</v>
      </c>
      <c r="F8" s="6" t="s">
        <v>120</v>
      </c>
    </row>
    <row r="9" customFormat="false" ht="37.5" hidden="false" customHeight="true" outlineLevel="0" collapsed="false">
      <c r="B9" s="46" t="s">
        <v>112</v>
      </c>
      <c r="C9" s="47" t="s">
        <v>121</v>
      </c>
      <c r="D9" s="48" t="s">
        <v>122</v>
      </c>
      <c r="E9" s="47" t="s">
        <v>123</v>
      </c>
      <c r="F9" s="10" t="s">
        <v>124</v>
      </c>
    </row>
    <row r="10" customFormat="false" ht="24.75" hidden="false" customHeight="true" outlineLevel="0" collapsed="false">
      <c r="B10" s="13" t="s">
        <v>125</v>
      </c>
      <c r="C10" s="13"/>
      <c r="D10" s="13"/>
      <c r="E10" s="13"/>
      <c r="F10" s="13"/>
    </row>
    <row r="11" customFormat="false" ht="37.5" hidden="false" customHeight="true" outlineLevel="0" collapsed="false">
      <c r="B11" s="46" t="s">
        <v>126</v>
      </c>
      <c r="C11" s="47" t="s">
        <v>127</v>
      </c>
      <c r="D11" s="48" t="s">
        <v>128</v>
      </c>
      <c r="E11" s="47" t="s">
        <v>129</v>
      </c>
      <c r="F11" s="10" t="s">
        <v>130</v>
      </c>
    </row>
    <row r="12" customFormat="false" ht="37.5" hidden="false" customHeight="true" outlineLevel="0" collapsed="false">
      <c r="B12" s="49" t="s">
        <v>126</v>
      </c>
      <c r="C12" s="50" t="s">
        <v>131</v>
      </c>
      <c r="D12" s="51" t="s">
        <v>132</v>
      </c>
      <c r="E12" s="50" t="s">
        <v>133</v>
      </c>
      <c r="F12" s="6" t="s">
        <v>134</v>
      </c>
    </row>
    <row r="13" customFormat="false" ht="37.5" hidden="false" customHeight="true" outlineLevel="0" collapsed="false">
      <c r="B13" s="46" t="s">
        <v>126</v>
      </c>
      <c r="C13" s="47" t="s">
        <v>135</v>
      </c>
      <c r="D13" s="48" t="s">
        <v>114</v>
      </c>
      <c r="E13" s="47" t="s">
        <v>136</v>
      </c>
      <c r="F13" s="10" t="s">
        <v>137</v>
      </c>
    </row>
    <row r="14" customFormat="false" ht="37.5" hidden="false" customHeight="true" outlineLevel="0" collapsed="false">
      <c r="B14" s="49" t="s">
        <v>126</v>
      </c>
      <c r="C14" s="50" t="s">
        <v>138</v>
      </c>
      <c r="D14" s="51" t="s">
        <v>105</v>
      </c>
      <c r="E14" s="50" t="s">
        <v>139</v>
      </c>
      <c r="F14" s="6" t="s">
        <v>140</v>
      </c>
    </row>
    <row r="15" customFormat="false" ht="37.5" hidden="false" customHeight="true" outlineLevel="0" collapsed="false">
      <c r="B15" s="46" t="s">
        <v>141</v>
      </c>
      <c r="C15" s="47" t="s">
        <v>142</v>
      </c>
      <c r="D15" s="48" t="s">
        <v>132</v>
      </c>
      <c r="E15" s="47" t="s">
        <v>143</v>
      </c>
      <c r="F15" s="10" t="s">
        <v>144</v>
      </c>
    </row>
    <row r="16" customFormat="false" ht="37.5" hidden="false" customHeight="true" outlineLevel="0" collapsed="false">
      <c r="B16" s="49" t="s">
        <v>141</v>
      </c>
      <c r="C16" s="50" t="s">
        <v>145</v>
      </c>
      <c r="D16" s="51" t="s">
        <v>114</v>
      </c>
      <c r="E16" s="50" t="s">
        <v>146</v>
      </c>
      <c r="F16" s="6" t="s">
        <v>147</v>
      </c>
    </row>
    <row r="17" customFormat="false" ht="37.5" hidden="false" customHeight="true" outlineLevel="0" collapsed="false">
      <c r="B17" s="46" t="s">
        <v>141</v>
      </c>
      <c r="C17" s="47" t="s">
        <v>148</v>
      </c>
      <c r="D17" s="48" t="s">
        <v>109</v>
      </c>
      <c r="E17" s="47" t="s">
        <v>149</v>
      </c>
      <c r="F17" s="10" t="s">
        <v>150</v>
      </c>
    </row>
    <row r="18" customFormat="false" ht="24.75" hidden="false" customHeight="true" outlineLevel="0" collapsed="false">
      <c r="B18" s="13" t="s">
        <v>151</v>
      </c>
      <c r="C18" s="13"/>
      <c r="D18" s="13"/>
      <c r="E18" s="13"/>
      <c r="F18" s="13"/>
    </row>
    <row r="19" customFormat="false" ht="37.5" hidden="false" customHeight="true" outlineLevel="0" collapsed="false">
      <c r="B19" s="46" t="s">
        <v>152</v>
      </c>
      <c r="C19" s="47" t="s">
        <v>153</v>
      </c>
      <c r="D19" s="48" t="s">
        <v>154</v>
      </c>
      <c r="E19" s="47" t="s">
        <v>155</v>
      </c>
      <c r="F19" s="10" t="s">
        <v>156</v>
      </c>
    </row>
    <row r="20" customFormat="false" ht="37.5" hidden="false" customHeight="true" outlineLevel="0" collapsed="false">
      <c r="B20" s="49" t="s">
        <v>152</v>
      </c>
      <c r="C20" s="50" t="s">
        <v>157</v>
      </c>
      <c r="D20" s="51" t="s">
        <v>105</v>
      </c>
      <c r="E20" s="50" t="s">
        <v>158</v>
      </c>
      <c r="F20" s="6" t="s">
        <v>159</v>
      </c>
    </row>
    <row r="21" customFormat="false" ht="37.5" hidden="false" customHeight="true" outlineLevel="0" collapsed="false">
      <c r="B21" s="46" t="s">
        <v>160</v>
      </c>
      <c r="C21" s="47" t="s">
        <v>161</v>
      </c>
      <c r="D21" s="48" t="s">
        <v>109</v>
      </c>
      <c r="E21" s="47" t="s">
        <v>162</v>
      </c>
      <c r="F21" s="10" t="s">
        <v>163</v>
      </c>
    </row>
    <row r="22" customFormat="false" ht="37.5" hidden="false" customHeight="true" outlineLevel="0" collapsed="false">
      <c r="B22" s="49" t="s">
        <v>160</v>
      </c>
      <c r="C22" s="50" t="s">
        <v>164</v>
      </c>
      <c r="D22" s="51" t="s">
        <v>165</v>
      </c>
      <c r="E22" s="50" t="s">
        <v>166</v>
      </c>
      <c r="F22" s="6" t="s">
        <v>167</v>
      </c>
    </row>
    <row r="23" customFormat="false" ht="37.5" hidden="false" customHeight="true" outlineLevel="0" collapsed="false">
      <c r="B23" s="46" t="s">
        <v>168</v>
      </c>
      <c r="C23" s="47" t="s">
        <v>169</v>
      </c>
      <c r="D23" s="48" t="s">
        <v>105</v>
      </c>
      <c r="E23" s="47" t="s">
        <v>170</v>
      </c>
      <c r="F23" s="10" t="s">
        <v>171</v>
      </c>
    </row>
    <row r="24" customFormat="false" ht="37.5" hidden="false" customHeight="true" outlineLevel="0" collapsed="false">
      <c r="B24" s="49" t="s">
        <v>168</v>
      </c>
      <c r="C24" s="50" t="s">
        <v>172</v>
      </c>
      <c r="D24" s="51" t="s">
        <v>173</v>
      </c>
      <c r="E24" s="50" t="s">
        <v>174</v>
      </c>
      <c r="F24" s="6" t="s">
        <v>175</v>
      </c>
    </row>
    <row r="25" customFormat="false" ht="37.5" hidden="false" customHeight="true" outlineLevel="0" collapsed="false">
      <c r="B25" s="46" t="s">
        <v>176</v>
      </c>
      <c r="C25" s="47" t="s">
        <v>177</v>
      </c>
      <c r="D25" s="48" t="s">
        <v>105</v>
      </c>
      <c r="E25" s="47" t="s">
        <v>178</v>
      </c>
      <c r="F25" s="10" t="s">
        <v>179</v>
      </c>
    </row>
    <row r="26" customFormat="false" ht="37.5" hidden="false" customHeight="true" outlineLevel="0" collapsed="false">
      <c r="B26" s="49" t="s">
        <v>176</v>
      </c>
      <c r="C26" s="50" t="s">
        <v>180</v>
      </c>
      <c r="D26" s="51" t="s">
        <v>118</v>
      </c>
      <c r="E26" s="50" t="s">
        <v>181</v>
      </c>
      <c r="F26" s="6" t="s">
        <v>182</v>
      </c>
    </row>
    <row r="27" customFormat="false" ht="23.85" hidden="false" customHeight="true" outlineLevel="0" collapsed="false">
      <c r="B27" s="52" t="s">
        <v>183</v>
      </c>
      <c r="C27" s="52"/>
      <c r="D27" s="53" t="s">
        <v>184</v>
      </c>
      <c r="E27" s="54" t="s">
        <v>185</v>
      </c>
      <c r="F27" s="55"/>
    </row>
  </sheetData>
  <mergeCells count="5">
    <mergeCell ref="B1:F1"/>
    <mergeCell ref="B4:F4"/>
    <mergeCell ref="B10:F10"/>
    <mergeCell ref="B18:F18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060"/>
    <pageSetUpPr fitToPage="false"/>
  </sheetPr>
  <dimension ref="B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8"/>
  </cols>
  <sheetData>
    <row r="1" customFormat="false" ht="31.5" hidden="false" customHeight="true" outlineLevel="0" collapsed="false">
      <c r="B1" s="28" t="s">
        <v>186</v>
      </c>
      <c r="C1" s="28"/>
      <c r="D1" s="28"/>
      <c r="E1" s="28"/>
    </row>
    <row r="2" customFormat="false" ht="15" hidden="false" customHeight="false" outlineLevel="0" collapsed="false">
      <c r="B2" s="56" t="s">
        <v>187</v>
      </c>
      <c r="C2" s="56"/>
      <c r="D2" s="56"/>
      <c r="E2" s="56"/>
    </row>
    <row r="4" customFormat="false" ht="27.75" hidden="false" customHeight="true" outlineLevel="0" collapsed="false">
      <c r="B4" s="14" t="s">
        <v>188</v>
      </c>
      <c r="C4" s="57" t="s">
        <v>189</v>
      </c>
      <c r="D4" s="14" t="s">
        <v>190</v>
      </c>
      <c r="E4" s="58" t="s">
        <v>191</v>
      </c>
    </row>
    <row r="5" customFormat="false" ht="15" hidden="false" customHeight="false" outlineLevel="0" collapsed="false">
      <c r="B5" s="50" t="s">
        <v>192</v>
      </c>
      <c r="C5" s="59" t="n">
        <v>1500000</v>
      </c>
      <c r="D5" s="59" t="n">
        <v>1910000</v>
      </c>
      <c r="E5" s="59" t="n">
        <v>2200000</v>
      </c>
    </row>
    <row r="6" customFormat="false" ht="15" hidden="false" customHeight="false" outlineLevel="0" collapsed="false">
      <c r="B6" s="47" t="s">
        <v>193</v>
      </c>
      <c r="C6" s="60" t="n">
        <v>500</v>
      </c>
      <c r="D6" s="60" t="n">
        <v>950</v>
      </c>
      <c r="E6" s="60" t="n">
        <v>1400</v>
      </c>
    </row>
    <row r="7" customFormat="false" ht="15" hidden="false" customHeight="false" outlineLevel="0" collapsed="false">
      <c r="B7" s="50" t="s">
        <v>194</v>
      </c>
      <c r="C7" s="59" t="n">
        <v>3000</v>
      </c>
      <c r="D7" s="59" t="n">
        <v>2010</v>
      </c>
      <c r="E7" s="59" t="n">
        <v>1571</v>
      </c>
    </row>
    <row r="8" customFormat="false" ht="15" hidden="false" customHeight="false" outlineLevel="0" collapsed="false">
      <c r="B8" s="47" t="s">
        <v>195</v>
      </c>
      <c r="C8" s="19" t="n">
        <v>0.3</v>
      </c>
      <c r="D8" s="19" t="n">
        <v>0.45</v>
      </c>
      <c r="E8" s="19" t="n">
        <v>0.55</v>
      </c>
    </row>
    <row r="9" customFormat="false" ht="15" hidden="false" customHeight="false" outlineLevel="0" collapsed="false">
      <c r="B9" s="50" t="s">
        <v>196</v>
      </c>
      <c r="C9" s="59" t="n">
        <v>1200</v>
      </c>
      <c r="D9" s="59" t="n">
        <v>3800</v>
      </c>
      <c r="E9" s="59" t="n">
        <v>6500</v>
      </c>
    </row>
    <row r="10" customFormat="false" ht="15" hidden="false" customHeight="false" outlineLevel="0" collapsed="false">
      <c r="B10" s="47" t="s">
        <v>197</v>
      </c>
      <c r="C10" s="60" t="n">
        <v>350</v>
      </c>
      <c r="D10" s="60" t="n">
        <v>400</v>
      </c>
      <c r="E10" s="60" t="n">
        <v>450</v>
      </c>
    </row>
    <row r="11" customFormat="false" ht="15" hidden="false" customHeight="false" outlineLevel="0" collapsed="false">
      <c r="B11" s="50" t="s">
        <v>198</v>
      </c>
      <c r="C11" s="59" t="n">
        <v>420000</v>
      </c>
      <c r="D11" s="59" t="n">
        <v>1520000</v>
      </c>
      <c r="E11" s="59" t="n">
        <v>2925000</v>
      </c>
    </row>
    <row r="12" customFormat="false" ht="15" hidden="false" customHeight="false" outlineLevel="0" collapsed="false">
      <c r="B12" s="47" t="s">
        <v>199</v>
      </c>
      <c r="C12" s="60" t="n">
        <v>189000</v>
      </c>
      <c r="D12" s="60" t="n">
        <v>684000</v>
      </c>
      <c r="E12" s="60" t="n">
        <v>1316250</v>
      </c>
    </row>
    <row r="13" customFormat="false" ht="15" hidden="false" customHeight="false" outlineLevel="0" collapsed="false">
      <c r="B13" s="50" t="s">
        <v>200</v>
      </c>
      <c r="C13" s="59" t="n">
        <v>1595000</v>
      </c>
      <c r="D13" s="59" t="n">
        <v>1595000</v>
      </c>
      <c r="E13" s="59" t="n">
        <v>1595000</v>
      </c>
    </row>
    <row r="14" customFormat="false" ht="15" hidden="false" customHeight="false" outlineLevel="0" collapsed="false">
      <c r="B14" s="61" t="s">
        <v>201</v>
      </c>
      <c r="C14" s="62" t="n">
        <v>-2906000</v>
      </c>
      <c r="D14" s="62" t="n">
        <v>-2321000</v>
      </c>
      <c r="E14" s="62" t="n">
        <v>-1478750</v>
      </c>
    </row>
    <row r="16" customFormat="false" ht="15" hidden="false" customHeight="false" outlineLevel="0" collapsed="false">
      <c r="B16" s="8" t="s">
        <v>202</v>
      </c>
      <c r="C16" s="63" t="s">
        <v>203</v>
      </c>
      <c r="D16" s="63" t="s">
        <v>204</v>
      </c>
      <c r="E16" s="63" t="s">
        <v>205</v>
      </c>
    </row>
    <row r="17" customFormat="false" ht="15" hidden="false" customHeight="false" outlineLevel="0" collapsed="false">
      <c r="B17" s="4" t="s">
        <v>206</v>
      </c>
      <c r="C17" s="59" t="n">
        <v>2520</v>
      </c>
      <c r="D17" s="59" t="n">
        <v>3888</v>
      </c>
      <c r="E17" s="59" t="n">
        <v>5940</v>
      </c>
    </row>
    <row r="18" customFormat="false" ht="15" hidden="false" customHeight="false" outlineLevel="0" collapsed="false">
      <c r="B18" s="8" t="s">
        <v>207</v>
      </c>
      <c r="C18" s="63" t="s">
        <v>208</v>
      </c>
      <c r="D18" s="63" t="s">
        <v>209</v>
      </c>
      <c r="E18" s="63" t="s">
        <v>210</v>
      </c>
    </row>
    <row r="19" customFormat="false" ht="15" hidden="false" customHeight="false" outlineLevel="0" collapsed="false">
      <c r="B19" s="50" t="s">
        <v>211</v>
      </c>
      <c r="C19" s="59" t="n">
        <v>210000</v>
      </c>
      <c r="D19" s="59" t="n">
        <v>600000</v>
      </c>
      <c r="E19" s="59" t="n">
        <v>1170000</v>
      </c>
    </row>
    <row r="20" customFormat="false" ht="15" hidden="false" customHeight="false" outlineLevel="0" collapsed="false">
      <c r="B20" s="47" t="s">
        <v>212</v>
      </c>
      <c r="C20" s="63" t="s">
        <v>213</v>
      </c>
      <c r="D20" s="63" t="s">
        <v>214</v>
      </c>
      <c r="E20" s="63" t="s">
        <v>215</v>
      </c>
    </row>
    <row r="22" customFormat="false" ht="27.75" hidden="false" customHeight="true" outlineLevel="0" collapsed="false">
      <c r="B22" s="64" t="s">
        <v>216</v>
      </c>
      <c r="C22" s="64"/>
      <c r="D22" s="64"/>
      <c r="E22" s="64"/>
    </row>
    <row r="23" customFormat="false" ht="34.5" hidden="false" customHeight="true" outlineLevel="0" collapsed="false">
      <c r="B23" s="65" t="s">
        <v>217</v>
      </c>
      <c r="C23" s="65"/>
      <c r="D23" s="65"/>
      <c r="E23" s="65"/>
    </row>
    <row r="24" customFormat="false" ht="34.5" hidden="false" customHeight="true" outlineLevel="0" collapsed="false">
      <c r="B24" s="65" t="s">
        <v>218</v>
      </c>
      <c r="C24" s="65"/>
      <c r="D24" s="65"/>
      <c r="E24" s="65"/>
    </row>
    <row r="25" customFormat="false" ht="34.5" hidden="false" customHeight="true" outlineLevel="0" collapsed="false">
      <c r="B25" s="65" t="s">
        <v>219</v>
      </c>
      <c r="C25" s="65"/>
      <c r="D25" s="65"/>
      <c r="E25" s="65"/>
    </row>
    <row r="26" customFormat="false" ht="34.5" hidden="false" customHeight="true" outlineLevel="0" collapsed="false">
      <c r="B26" s="65" t="s">
        <v>220</v>
      </c>
      <c r="C26" s="65"/>
      <c r="D26" s="65"/>
      <c r="E26" s="65"/>
    </row>
    <row r="27" customFormat="false" ht="34.5" hidden="false" customHeight="true" outlineLevel="0" collapsed="false">
      <c r="B27" s="65" t="s">
        <v>221</v>
      </c>
      <c r="C27" s="65"/>
      <c r="D27" s="65"/>
      <c r="E27" s="65"/>
    </row>
  </sheetData>
  <mergeCells count="8">
    <mergeCell ref="B1:E1"/>
    <mergeCell ref="B2:E2"/>
    <mergeCell ref="B22:E22"/>
    <mergeCell ref="B23:E23"/>
    <mergeCell ref="B24:E24"/>
    <mergeCell ref="B25:E25"/>
    <mergeCell ref="B26:E26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2026-04-03T07:16:18Z</dcterms:created>
  <dc:creator>openpyxl</dc:creator>
  <dc:description/>
  <dc:language>en-US</dc:language>
  <cp:lastModifiedBy/>
  <dcterms:modified xsi:type="dcterms:W3CDTF">2026-04-03T07:16:18Z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